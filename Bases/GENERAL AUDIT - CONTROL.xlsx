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ESS CONTROL" sheetId="1" r:id="rId5"/>
    <sheet state="visible" name="GERAL OVERVIEW" sheetId="2" r:id="rId6"/>
    <sheet state="visible" name="RELATÓRIO ACC" sheetId="3" r:id="rId7"/>
    <sheet state="visible" name="R22 RELATÓRIO ACC" sheetId="4" r:id="rId8"/>
  </sheets>
  <definedNames>
    <definedName hidden="1" localSheetId="0" name="_xlnm._FilterDatabase">'PROGRESS CONTROL'!$A$4:$BP$78</definedName>
    <definedName hidden="1" localSheetId="2" name="_xlnm._FilterDatabase">'RELATÓRIO ACC'!$A$1:$P$146</definedName>
    <definedName hidden="1" localSheetId="3" name="_xlnm._FilterDatabase">'R22 RELATÓRIO ACC'!$A$1:$P$224</definedName>
  </definedNames>
  <calcPr/>
</workbook>
</file>

<file path=xl/sharedStrings.xml><?xml version="1.0" encoding="utf-8"?>
<sst xmlns="http://schemas.openxmlformats.org/spreadsheetml/2006/main" count="6362" uniqueCount="1611">
  <si>
    <t>GENERAL AUDIT CONTROL</t>
  </si>
  <si>
    <t>ORDEM</t>
  </si>
  <si>
    <t>TRADE COMPANY</t>
  </si>
  <si>
    <t>TRADE CODE</t>
  </si>
  <si>
    <t>BIM COMPANY</t>
  </si>
  <si>
    <t>BIM COD</t>
  </si>
  <si>
    <t>ACC VERSION (R22) - META DO DIA 17/07</t>
  </si>
  <si>
    <t>ACC  FILE DATE (R22) - META DO DIA 17/07</t>
  </si>
  <si>
    <t>ACC VERSION (R24) - META DO DIA 17/07</t>
  </si>
  <si>
    <t>ACC  FILE DATE (R24) - META DO DIA 17/07</t>
  </si>
  <si>
    <t>VERSION DATE (DD/MM)</t>
  </si>
  <si>
    <t>VERSION</t>
  </si>
  <si>
    <t>VERSÃO DO MODELO</t>
  </si>
  <si>
    <t>FILE NAME (R22)</t>
  </si>
  <si>
    <t>FILE NAME (R24)</t>
  </si>
  <si>
    <t>STANDARD NAME</t>
  </si>
  <si>
    <t>LISTA PRIORIDADE RACIONAL</t>
  </si>
  <si>
    <t>ISSUES ACC</t>
  </si>
  <si>
    <t>AUDITORIA</t>
  </si>
  <si>
    <t>STATUS TABELA ASPECTOS GERAIS</t>
  </si>
  <si>
    <t>STATUS RELATÓRIO</t>
  </si>
  <si>
    <t>RESPONSÁVEL</t>
  </si>
  <si>
    <t>DATA DE INÍCIO DA AUDITORIA</t>
  </si>
  <si>
    <t>DATA DE FINALIZAÇÃO DA AUDITORIA</t>
  </si>
  <si>
    <t>ROUND 1 - APPROVAL (%)</t>
  </si>
  <si>
    <t>ROUND 2 - APPROVAL (%)</t>
  </si>
  <si>
    <t>ROUND 3 - APPROVAL (%)</t>
  </si>
  <si>
    <t>ROUND 4 - APPROVAL (%)</t>
  </si>
  <si>
    <t>ROUND 5 - APPROVAL (%)</t>
  </si>
  <si>
    <t>ROUND 6 - APPROVAL (%)</t>
  </si>
  <si>
    <t>ROUND 7 - APPROVAL (%)</t>
  </si>
  <si>
    <t>ROUND 8 - APPROVAL (%)</t>
  </si>
  <si>
    <t>ROUND 9 - APPROVAL (%)</t>
  </si>
  <si>
    <t>ROUND 10 - APPROVAL (%)</t>
  </si>
  <si>
    <t>ROUND 11 - APPROVAL (%)</t>
  </si>
  <si>
    <t>ROUND 12 - APPROVAL (%)</t>
  </si>
  <si>
    <t>ROUND 13 - APPROVAL (%)</t>
  </si>
  <si>
    <t>ROUND 14 - APPROVAL (%)</t>
  </si>
  <si>
    <t>ROUND 15 - APPROVAL (%)</t>
  </si>
  <si>
    <t>ROUND 16 - APPROVAL (%)</t>
  </si>
  <si>
    <t>ROUND 17 - APPROVAL (%)</t>
  </si>
  <si>
    <t>ROUND 18 - APPROVAL (%)</t>
  </si>
  <si>
    <t>ROUND 19 - APPROVAL (%)</t>
  </si>
  <si>
    <t>ROUND 20 - APPROVAL (%)</t>
  </si>
  <si>
    <t>ROUND 21 - APPROVAL (%)</t>
  </si>
  <si>
    <t>ROUND 22 - APPROVAL (%)</t>
  </si>
  <si>
    <t>ROUND 23 - APPROVAL (%)</t>
  </si>
  <si>
    <t>ROUND 24 - APPROVAL (%)</t>
  </si>
  <si>
    <t>ROUND 25- APPROVAL (%)</t>
  </si>
  <si>
    <t>ROUND 26- APPROVAL (%)</t>
  </si>
  <si>
    <t>ROUND 27- APPROVAL (%)</t>
  </si>
  <si>
    <t>ROUND 28- APPROVAL (%)</t>
  </si>
  <si>
    <t>ROUND 29- APPROVAL (%)</t>
  </si>
  <si>
    <t>ROUND 30- APPROVAL (%)</t>
  </si>
  <si>
    <t>ROUND 31- APPROVAL (%)</t>
  </si>
  <si>
    <t>ROUND 32- APPROVAL (%)</t>
  </si>
  <si>
    <t>ROUND 33- APPROVAL (%)</t>
  </si>
  <si>
    <t>ROUND 34- APPROVAL (%)</t>
  </si>
  <si>
    <t>ROUND 35- APPROVAL (%)</t>
  </si>
  <si>
    <t>ROUND 36- APPROVAL (%)</t>
  </si>
  <si>
    <t>ROUND 37- APPROVAL (%)</t>
  </si>
  <si>
    <t>ROUND 38- APPROVAL (%)</t>
  </si>
  <si>
    <t>ROUND 39- APPROVAL (%)</t>
  </si>
  <si>
    <t>ROUND 40- APPROVAL (%)</t>
  </si>
  <si>
    <t>ROUND 41- APPROVAL (%)</t>
  </si>
  <si>
    <t>ROUND 42- APPROVAL (%)</t>
  </si>
  <si>
    <t>ISSUES (ROUND 42)</t>
  </si>
  <si>
    <t>ESTIMATED DELIVERY (DD/MM)</t>
  </si>
  <si>
    <t>RESUMO</t>
  </si>
  <si>
    <t>MENDES HOLLER</t>
  </si>
  <si>
    <t>25/06/2026</t>
  </si>
  <si>
    <t>V4</t>
  </si>
  <si>
    <t>CONTINUA MESMA VERSÃO</t>
  </si>
  <si>
    <t>CPQ11-FPRT-FPRT-DATA-R22.rvt</t>
  </si>
  <si>
    <t>CPQ11-FPRT-FPRT-DATA-R24.rvt</t>
  </si>
  <si>
    <t>FPRT-FPRT-DATA</t>
  </si>
  <si>
    <t>ABERTO</t>
  </si>
  <si>
    <t>FOI AUDITADO R7</t>
  </si>
  <si>
    <t>NOT PUBLISHED</t>
  </si>
  <si>
    <t>OUTDATED</t>
  </si>
  <si>
    <t>NEXT ROUND</t>
  </si>
  <si>
    <t>IMPROPER</t>
  </si>
  <si>
    <t>ON HOLD</t>
  </si>
  <si>
    <t>IDEIA DRYWALL</t>
  </si>
  <si>
    <t>T2B</t>
  </si>
  <si>
    <t>04/06/2026</t>
  </si>
  <si>
    <t>V1</t>
  </si>
  <si>
    <t>CPQ11-ARCH-CEIL-DATA-R22.rvt</t>
  </si>
  <si>
    <t>CPQ11-ARCH-CEIL-DATA-R24.rvt</t>
  </si>
  <si>
    <t>ARCH-CEIL-DATA</t>
  </si>
  <si>
    <t>CPQ11-ARCH-CEIL-SITE-R22.rvt</t>
  </si>
  <si>
    <t>CPQ11-ARCH-CEIL-SITE-R24.rvt</t>
  </si>
  <si>
    <t>ARCH-CEIL-SITE</t>
  </si>
  <si>
    <t>24/06/2026</t>
  </si>
  <si>
    <t>V3</t>
  </si>
  <si>
    <t>CPQ11-FPRT-FPRT-SITE-R22.rvt</t>
  </si>
  <si>
    <t>CPQ11-FPRT-FPRT-SITE-R24.rvt</t>
  </si>
  <si>
    <t>FPRT-FPRT-SITE</t>
  </si>
  <si>
    <t>FOI AUDITADO R9</t>
  </si>
  <si>
    <t>PREVIOUSLY APPROVED</t>
  </si>
  <si>
    <t>CLOSED</t>
  </si>
  <si>
    <t>MODAX</t>
  </si>
  <si>
    <t>26/05/2026</t>
  </si>
  <si>
    <t>V2</t>
  </si>
  <si>
    <t>CPQ11-STRC-FLOO-DATA-R22.rvt</t>
  </si>
  <si>
    <t>CPQ11-STRC-FLOO-DATA-R24.rvt</t>
  </si>
  <si>
    <t>STONE</t>
  </si>
  <si>
    <t>CPQ11-ARCH-STON-SITE-R23.rvt</t>
  </si>
  <si>
    <t>CPQ11-ARCH-STON-SITE-R24.rvt</t>
  </si>
  <si>
    <t>ARCH-STON-SITE</t>
  </si>
  <si>
    <t>FM SECURITY</t>
  </si>
  <si>
    <t>16/06/2026</t>
  </si>
  <si>
    <t>CPQ11-SCTY-GATE-SITE-R24.rvt</t>
  </si>
  <si>
    <t>ARCH-OHCD-DATA</t>
  </si>
  <si>
    <t>CPQ11-STRC-FLOO-SITE-R22.rvt</t>
  </si>
  <si>
    <t>CPQ11-STRC-FLOO-SITE-R24.rvt</t>
  </si>
  <si>
    <t>08/05/2026</t>
  </si>
  <si>
    <t>V11</t>
  </si>
  <si>
    <t>CPQ11-FALM-FALM-SITE-R22.rvt</t>
  </si>
  <si>
    <t>CPQ11-FALM-FALM-SITE-R24.rvt</t>
  </si>
  <si>
    <t>FALM-FALM-SITE</t>
  </si>
  <si>
    <t>ARE ARQUITETURA</t>
  </si>
  <si>
    <t>V20</t>
  </si>
  <si>
    <t>MODELO FOI ATUALIZADO</t>
  </si>
  <si>
    <t>CPQ11-ARCH-ARCH-SITE-R22.rvt</t>
  </si>
  <si>
    <t>CPQ11-ARCH-ARCH-SITE-R24.rvt</t>
  </si>
  <si>
    <t>ARCH-ARCH-SITE</t>
  </si>
  <si>
    <t>FOI AUDITADO R8</t>
  </si>
  <si>
    <t>FINALIZADO</t>
  </si>
  <si>
    <t>ALINNE</t>
  </si>
  <si>
    <t>TENAX</t>
  </si>
  <si>
    <t>V5</t>
  </si>
  <si>
    <t>CPQ11-STRC-CONC-DATA-R22.rvt</t>
  </si>
  <si>
    <t>CPQ11-STRC-CONC-DATA-R24.rvt</t>
  </si>
  <si>
    <t>STRC-CONC-DATA</t>
  </si>
  <si>
    <t>ALTAMIRA</t>
  </si>
  <si>
    <t>V7</t>
  </si>
  <si>
    <t>CPQ11-ARCH-SHLV-DATA-R22.rvt</t>
  </si>
  <si>
    <t>CPQ11-ARCH-SHLV-DATA-R24.rvt</t>
  </si>
  <si>
    <t>ARCH-SHLV-DATA</t>
  </si>
  <si>
    <t>FCH</t>
  </si>
  <si>
    <t>V12</t>
  </si>
  <si>
    <t>CPQ11-ARCH-PART-C345-R22.rvt</t>
  </si>
  <si>
    <t>CPQ11-ARCH-PART-C345-R24.rvt</t>
  </si>
  <si>
    <t>ARCH-PART-C345</t>
  </si>
  <si>
    <t>IURY</t>
  </si>
  <si>
    <t>CPQ11-STRC-DPFN-DATA-R22.rvt</t>
  </si>
  <si>
    <t>CPQ11-STRC-DPFN-DATA-R24.rvt</t>
  </si>
  <si>
    <t>STRC-DPFN-DATA</t>
  </si>
  <si>
    <t>INOVAGLASS</t>
  </si>
  <si>
    <t>CPQ11-ARCH-BLPR-GUAR-R22.rvt</t>
  </si>
  <si>
    <t>CPQ11-ARCH-BLPR-GUAR-R24.rvt</t>
  </si>
  <si>
    <t>ARCH-BLPR-GUAR</t>
  </si>
  <si>
    <t>FECHADA</t>
  </si>
  <si>
    <t>FOI AUDITADO R6</t>
  </si>
  <si>
    <t>CPQ11-STRC-DPFN-SITE-R22.rvt</t>
  </si>
  <si>
    <t>CPQ11-STRC-DPFN-SITE-R24.rvt</t>
  </si>
  <si>
    <t>STRC-DPFN-SITE</t>
  </si>
  <si>
    <t>INICIADO</t>
  </si>
  <si>
    <t>GARCIA</t>
  </si>
  <si>
    <t>CADBIM</t>
  </si>
  <si>
    <t>CPQ11-CIVL-PAVM-SITE-R22.rvt</t>
  </si>
  <si>
    <t>CPQ11-CIVL-PAVM-SITE-R24.rvt</t>
  </si>
  <si>
    <t>CIVL-PAVM-SITE</t>
  </si>
  <si>
    <t>PORTEX</t>
  </si>
  <si>
    <t>SPBIM</t>
  </si>
  <si>
    <t>CPQ11-ARCH-HM90-DATA-R22.rvt</t>
  </si>
  <si>
    <t>CPQ11-ARCH-HM90-DATA-R24.rvt</t>
  </si>
  <si>
    <t>ARCH-HM90-DATA</t>
  </si>
  <si>
    <t>NÃO POSSUI ISSUE</t>
  </si>
  <si>
    <t>CPQ11-CIVL-DRNG-SITE-R22.rvt</t>
  </si>
  <si>
    <t>CPQ11-CIVL-DRNG-SITE-R24.rvt</t>
  </si>
  <si>
    <t>CIVL-DRNG-SITE</t>
  </si>
  <si>
    <t>CPQ11-STRC-CONC-SITE-R22.rvt</t>
  </si>
  <si>
    <t>CPQ11-STRC-CONC-SITE-R24.rvt</t>
  </si>
  <si>
    <t>STRC-CONC-SITE</t>
  </si>
  <si>
    <t>V15</t>
  </si>
  <si>
    <t>CPQ11-ARCH-PART-C12A-R22.rvt</t>
  </si>
  <si>
    <t>CPQ11-ARCH-PART-C12A-R24.rvt</t>
  </si>
  <si>
    <t>ARCH-PART-C12A</t>
  </si>
  <si>
    <t>V17</t>
  </si>
  <si>
    <t>CPQ11-ARCH-ARCH-DATA-R22.rvt</t>
  </si>
  <si>
    <t>CPQ11-ARCH-ARCH-DATA-R24.rvt</t>
  </si>
  <si>
    <t>ARCH-ARCH-DATA</t>
  </si>
  <si>
    <t>CPQ11-CIVL-ERTH-SITE-R22.rvt</t>
  </si>
  <si>
    <t>CPQ11-CIVL-ERTH-SITE-R24.rvt</t>
  </si>
  <si>
    <t>CIVL-ERTH-SITE</t>
  </si>
  <si>
    <t>EDSON</t>
  </si>
  <si>
    <t>PGMAK</t>
  </si>
  <si>
    <t>V24</t>
  </si>
  <si>
    <t>CPQ11-SYST-INFR-DATA-R22.rvt</t>
  </si>
  <si>
    <t>CPQ11-SYST-INFR-DATA-R24.rvt</t>
  </si>
  <si>
    <t>SYST-INFR-DATA</t>
  </si>
  <si>
    <t>CPQ11-SYST-INFR-SITE-R22.rvt</t>
  </si>
  <si>
    <t>CPQ11-SYST-INFR-SITE-R24.rvt</t>
  </si>
  <si>
    <t>SYST-INFR-SITE</t>
  </si>
  <si>
    <t>V34</t>
  </si>
  <si>
    <t>CPQ11-SCTY-INFR-DATA-R22.rvt</t>
  </si>
  <si>
    <t>CPQ11-SCTY-INFR-DATA-R24.rvt</t>
  </si>
  <si>
    <t>SCTY-INFR-DATA</t>
  </si>
  <si>
    <t>V18</t>
  </si>
  <si>
    <t>CPQ11-SCTY-INFR-SITE-R22.rvt</t>
  </si>
  <si>
    <t>CPQ11-SCTY-INFR-SITE-R24.rvt</t>
  </si>
  <si>
    <t>SCTY-INFR-SITE</t>
  </si>
  <si>
    <t>V25</t>
  </si>
  <si>
    <t>CPQ11-BASM-INFR-DATA-R22.rvt</t>
  </si>
  <si>
    <t>CPQ11-BASM-INFR-DATA-R24.rvt</t>
  </si>
  <si>
    <t>BASM-INFR-DATA</t>
  </si>
  <si>
    <t>V19</t>
  </si>
  <si>
    <t>CPQ11-BASM-INFR-PUMP-R22.rvt</t>
  </si>
  <si>
    <t>CPQ11-BASM-INFR-PUMP-R24.rvt</t>
  </si>
  <si>
    <t>BASM-INFR-PUMP</t>
  </si>
  <si>
    <t xml:space="preserve"> </t>
  </si>
  <si>
    <t>V46</t>
  </si>
  <si>
    <t>CPQ11-ELEC-ELEC-DATA-R22.rvt</t>
  </si>
  <si>
    <t>CPQ11-ELEC-ELEC-DATA-R24.rvt</t>
  </si>
  <si>
    <t>ELEC-ELEC-DATA</t>
  </si>
  <si>
    <t>V32</t>
  </si>
  <si>
    <t>CPQ11-ELEC-ELEC-SITE-R22.rvt</t>
  </si>
  <si>
    <t>CPQ11-ELEC-ELEC-SITE-R24.rvt</t>
  </si>
  <si>
    <t>ELEC-ELEC-SITE</t>
  </si>
  <si>
    <t>V29</t>
  </si>
  <si>
    <t>CPQ11-PLMB-PLMB-DATA-R22.rvt</t>
  </si>
  <si>
    <t>CPQ11-PLMB-PLMB-DATA-R24.rvt</t>
  </si>
  <si>
    <t>PLMB-PLMB-DATA</t>
  </si>
  <si>
    <t>08/04/2026</t>
  </si>
  <si>
    <t>V27</t>
  </si>
  <si>
    <t>CPQ11-PLMB-PLMB-SITE-R22.rvt</t>
  </si>
  <si>
    <t>CPQ11-PLMB-PLMB-SITE-R24.rvt</t>
  </si>
  <si>
    <t>PLMB-PLMB-SITE</t>
  </si>
  <si>
    <t>CPQ11-PLMB-DIES-SITE-R22.rvt</t>
  </si>
  <si>
    <t>CPQ11-PLMB-DIES-SITE-R24.rvt</t>
  </si>
  <si>
    <t>PLMB-DIES-SITE</t>
  </si>
  <si>
    <t>07/05/2026</t>
  </si>
  <si>
    <t>V23</t>
  </si>
  <si>
    <t>CPQ11-FALM-FALM-DATA-R22.rvt</t>
  </si>
  <si>
    <t>CPQ11-FALM-FALM-DATA-R24.rvt</t>
  </si>
  <si>
    <t>FALM-FALM-DATA</t>
  </si>
  <si>
    <t>AUTOBRÁS</t>
  </si>
  <si>
    <t>CPQ11-DALI-DEVS-DATA-R22.rvt</t>
  </si>
  <si>
    <t>CPQ11-DALI-DEVS-DATA-R24.rvt</t>
  </si>
  <si>
    <t>DALI-DEVS-DATA</t>
  </si>
  <si>
    <t>BLACKBOX</t>
  </si>
  <si>
    <t>V10</t>
  </si>
  <si>
    <t>CPQ11-BASM-DEVS-DATA-R22.rvt</t>
  </si>
  <si>
    <t>CPQ11-BASM-DEVS-DATA-R24.rvt</t>
  </si>
  <si>
    <t>BASM-DEVS-DATA</t>
  </si>
  <si>
    <t>CPQ11-BASM-DEVS-PUMP-R22.rvt</t>
  </si>
  <si>
    <t>CPQ11-BASM-DEVS-PUMP-R24.rvt</t>
  </si>
  <si>
    <t>BASM-DEVS-PUMP</t>
  </si>
  <si>
    <t>CPQ11-EPMS-DEVS-DATA-R22.rvt</t>
  </si>
  <si>
    <t>CPQ11-EPMS-DEVS-DATA-R24.rvt</t>
  </si>
  <si>
    <t>EPMS-DEVS-DATA</t>
  </si>
  <si>
    <t>V8</t>
  </si>
  <si>
    <t>CPQ11-EPMS-DEVS-SITE-R22.rvt</t>
  </si>
  <si>
    <t>CPQ11-EPMS-DEVS-SITE-R24.rvt</t>
  </si>
  <si>
    <t>EPMS-DEVS-SITE</t>
  </si>
  <si>
    <t>CPQ11-TCOM-DEVS-DATA-R22.rvt</t>
  </si>
  <si>
    <t>CPQ11-TCOM-DEVS-DATA-R24.rvt</t>
  </si>
  <si>
    <t>TCOM-DEVS-DATA</t>
  </si>
  <si>
    <t>CPQ11-TCOM-DEVS-SITE-R22.rvt</t>
  </si>
  <si>
    <t>CPQ11-TCOM-DEVS-SITE-R24.rvt</t>
  </si>
  <si>
    <t>TCOM-DEVS-SITE</t>
  </si>
  <si>
    <t>IBTECH</t>
  </si>
  <si>
    <t>CPQ11-DASM-DEVS-DATA-R22.rvt</t>
  </si>
  <si>
    <t>CPQ11-DASM-DEVS-DATA-R24.rvt</t>
  </si>
  <si>
    <t>DASM-DEVS-DATA</t>
  </si>
  <si>
    <t>CPQ11-ROIP-DEVS-DATA-R22.rvt</t>
  </si>
  <si>
    <t>CPQ11-ROIP-DEVS-DATA-R24.rvt</t>
  </si>
  <si>
    <t>ROIP-DEVS-DATA</t>
  </si>
  <si>
    <t>CPQ11-ROIP-DEVS-GUAR-R22.rvt</t>
  </si>
  <si>
    <t>CPQ11-ROIP-DEVS-GUAR-R24.rvt</t>
  </si>
  <si>
    <t>ROIP-DEVS-GUAR</t>
  </si>
  <si>
    <t>METASA</t>
  </si>
  <si>
    <t>CPQ11-STRC-STEE-COL2-2X3.ifc</t>
  </si>
  <si>
    <t>STRC-STEE-COL2</t>
  </si>
  <si>
    <t>PETROTANQUE</t>
  </si>
  <si>
    <t>CPQ11-FPRT-METK-UTLS-R22.rvt</t>
  </si>
  <si>
    <t>CPQ11-FPRT-METK-UTLS-R24.rvt</t>
  </si>
  <si>
    <t>FPRT-METK-UTLS</t>
  </si>
  <si>
    <t>OMNITRADE</t>
  </si>
  <si>
    <t>CPQ11-ARCH-FACD-DATA-R22.rvt</t>
  </si>
  <si>
    <t>CPQ11-ARCH-FACD-DATA-R24.rvt</t>
  </si>
  <si>
    <t>ARCH-FACD-DATA</t>
  </si>
  <si>
    <t>V6</t>
  </si>
  <si>
    <t>CPQ11-STRC-STEE-COL1-2X3.ifc</t>
  </si>
  <si>
    <t>STRC-STEE-COL1</t>
  </si>
  <si>
    <t>STARCENTER</t>
  </si>
  <si>
    <t>V40</t>
  </si>
  <si>
    <t>CPQ11-MECH-MECH-DATA-R22.rvt</t>
  </si>
  <si>
    <t>CPQ11-MECH-MECH-DATA-R24.rvt</t>
  </si>
  <si>
    <t>MECH-MECH-DATA</t>
  </si>
  <si>
    <t>V14</t>
  </si>
  <si>
    <t>CPQ11-MECH-MECH-GUAR-R22.rvt</t>
  </si>
  <si>
    <t>CPQ11-MECH-MECH-GUAR-R24.rvt</t>
  </si>
  <si>
    <t>MECH-MECH-GUAR</t>
  </si>
  <si>
    <t>V21</t>
  </si>
  <si>
    <t>CPQ11-PLMB-METK-UTLS-R22.rvt</t>
  </si>
  <si>
    <t>CPQ11-PLMB-METK-UTLS-R24.rvt</t>
  </si>
  <si>
    <t>PLMB-METK-UTLS</t>
  </si>
  <si>
    <t>CPQ11-PLMB-NPWT-DATA-R22.rvt</t>
  </si>
  <si>
    <t>CPQ11-PLMB-NPWT-DATA-R24.rvt</t>
  </si>
  <si>
    <t>PLMB-NPWT-DATA</t>
  </si>
  <si>
    <t>CPQ11-PLMB-NPWT-SITE-R22.rvt</t>
  </si>
  <si>
    <t>CPQ11-PLMB-NPWT-SITE-R24.rvt</t>
  </si>
  <si>
    <t>PLMB-NPWT-SITE</t>
  </si>
  <si>
    <t>SEGURPRO</t>
  </si>
  <si>
    <t>V33</t>
  </si>
  <si>
    <t>CPQ11-SCTY-DEVS-DATA-R22.rvt</t>
  </si>
  <si>
    <t>CPQ11-SCTY-DEVS-DATA-R24.rvt</t>
  </si>
  <si>
    <t>SCTY-DEVS-DATA</t>
  </si>
  <si>
    <t>CPQ11-SCTY-DEVS-SITE-R22.rvt</t>
  </si>
  <si>
    <t>CPQ11-SCTY-DEVS-SITE-R24.rvt</t>
  </si>
  <si>
    <t>SCTY-DEVS-SITE</t>
  </si>
  <si>
    <t>CPQ11-STRC-STEE-STIR-2X3.ifc</t>
  </si>
  <si>
    <t>STRC-STEE-STIR</t>
  </si>
  <si>
    <t>CPQ11-STRC-STEE-UTLS-2X3.ifc</t>
  </si>
  <si>
    <t>STRC-STEE-UTLS</t>
  </si>
  <si>
    <t>CPQ11-ARCH-PART-SITE-R22.rvt</t>
  </si>
  <si>
    <t>CPQ11-ARCH-PART-SITE-R24.rvt</t>
  </si>
  <si>
    <t>ARCH-PART-SITE</t>
  </si>
  <si>
    <t>STEINER</t>
  </si>
  <si>
    <t>PMD</t>
  </si>
  <si>
    <t>CPQ11-CIVL-LOCK-SITE-R22.rvt</t>
  </si>
  <si>
    <t>CPQ11-CIVL-LOCK-SITE-R24.rvt</t>
  </si>
  <si>
    <t>CIVL-LOCK-SITE</t>
  </si>
  <si>
    <t>S-VALE</t>
  </si>
  <si>
    <t>CPQ11-ARCH-CHAI-SITE-R22.rvt</t>
  </si>
  <si>
    <t>CPQ11-ARCH-CHAI-SITE-R24.rvt</t>
  </si>
  <si>
    <t>ARCH-CHAI-SITE</t>
  </si>
  <si>
    <t>CPQ11-ARCH-HMET-DATA-R22.rvt</t>
  </si>
  <si>
    <t>CPQ11-ARCH-HMET-DATA-R24.rvt</t>
  </si>
  <si>
    <t>ARCH-HMET-DATA</t>
  </si>
  <si>
    <t>CPQ11-ARCH-HMET-SITE-R22.rvt</t>
  </si>
  <si>
    <t>CPQ11-ARCH-HMET-SITE-R24.rvt</t>
  </si>
  <si>
    <t>ARCH-HMET-SITE</t>
  </si>
  <si>
    <t>CPQ11-ARCH-ROOF-DATA-R22.rvt</t>
  </si>
  <si>
    <t>CPQ11-ARCH-ROOF-DATA-R24.rvt</t>
  </si>
  <si>
    <t>ARCH-ROOF-DATA</t>
  </si>
  <si>
    <t>V9</t>
  </si>
  <si>
    <t>CPQ11-ARCH-WMES-DATA-R22.rvt</t>
  </si>
  <si>
    <t>CPQ11-ARCH-WMES-DATA-R24.rvt</t>
  </si>
  <si>
    <t>ARCH-WMES-DATA</t>
  </si>
  <si>
    <t>CPQ11-STRC-STEE-ADMN-2X3.ifc</t>
  </si>
  <si>
    <t>STRC-STEE-ADMN</t>
  </si>
  <si>
    <t>CPQ11-STRC-STEE-COL3-2X3.ifc</t>
  </si>
  <si>
    <t>STRC-STEE-COL3</t>
  </si>
  <si>
    <t>CPQ11-STRC-STEE-COL4-2X3.ifc</t>
  </si>
  <si>
    <t>STRC-STEE-COL4</t>
  </si>
  <si>
    <t>CPQ11-STRC-STEE-COL5-2X3.ifc</t>
  </si>
  <si>
    <t>STRC-STEE-COL5</t>
  </si>
  <si>
    <t>CPQ11-STRC-STEE-GUAR-2X3.ifc</t>
  </si>
  <si>
    <t>STRC-STEE-GUAR</t>
  </si>
  <si>
    <t>SERCOP</t>
  </si>
  <si>
    <t>CPQ11-ARCH-METL-SITE-R22.rvt</t>
  </si>
  <si>
    <t>CPQ11-ARCH-METL-SITE-R24.rvt</t>
  </si>
  <si>
    <t>ARCH-METL-SITE</t>
  </si>
  <si>
    <t>JAKELYNE</t>
  </si>
  <si>
    <t>CPQ11-ELEC-SPDA-DATA-R22.rvt</t>
  </si>
  <si>
    <t>CPQ11-ELEC-SPDA-DATA-R24.rvt</t>
  </si>
  <si>
    <t>ELEC-SPDA-DATA</t>
  </si>
  <si>
    <t>CPQ11-ELEC-SPDA-SITE-R22.rvt</t>
  </si>
  <si>
    <t>CPQ11-ELEC-SPDA-SITE-R24.rvt</t>
  </si>
  <si>
    <t>ELEC-SPDA-SITE</t>
  </si>
  <si>
    <t>MEGADOORS</t>
  </si>
  <si>
    <t>CPQ11-ARCH-OHCD-DATA-R22.rvt</t>
  </si>
  <si>
    <t>CPQ11-ARCH-OHCD-DATA-R24.rvt</t>
  </si>
  <si>
    <t>GERAL</t>
  </si>
  <si>
    <t>VERSÃO AUDITADA</t>
  </si>
  <si>
    <t>Folder name and path</t>
  </si>
  <si>
    <t>Name</t>
  </si>
  <si>
    <t>Software version</t>
  </si>
  <si>
    <t>Model type</t>
  </si>
  <si>
    <t>Description</t>
  </si>
  <si>
    <t>Version number</t>
  </si>
  <si>
    <t>Published to</t>
  </si>
  <si>
    <t>Extracted to folder</t>
  </si>
  <si>
    <t>Added to Packages</t>
  </si>
  <si>
    <t>Publicly shared</t>
  </si>
  <si>
    <t>Synced with Bridge</t>
  </si>
  <si>
    <t>Markups</t>
  </si>
  <si>
    <t>Issues</t>
  </si>
  <si>
    <t>File size</t>
  </si>
  <si>
    <t>Last updated</t>
  </si>
  <si>
    <t>Last updated for control table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</si>
  <si>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</si>
  <si>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CPQ11-ARCH-ARCH-DATA-R24.rvt</t>
    </r>
  </si>
  <si>
    <t>Revit 2024</t>
  </si>
  <si>
    <t>Added manually</t>
  </si>
  <si>
    <t>--</t>
  </si>
  <si>
    <t>Sharing to</t>
  </si>
  <si>
    <t>No published markups</t>
  </si>
  <si>
    <t>No unresolved issues</t>
  </si>
  <si>
    <t>255.8 MB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</si>
  <si>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</si>
  <si>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CPQ11-ARCH-ARCH-SITE-R24.rvt</t>
    </r>
  </si>
  <si>
    <t>69.4 MB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</si>
  <si>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</si>
  <si>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CPQ11-ARCH-BLPR-GUAR-R24.rvt</t>
    </r>
  </si>
  <si>
    <t>36.2 MB</t>
  </si>
  <si>
    <t>May 20, 2026 5:55 PM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</si>
  <si>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</si>
  <si>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CPQ11-ARCH-CEIL-DATA-R24.rvt</t>
    </r>
  </si>
  <si>
    <t>186.8 MB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</si>
  <si>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</si>
  <si>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CPQ11-ARCH-CEIL-SITE-R24.rvt</t>
    </r>
  </si>
  <si>
    <t>49.2 MB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</si>
  <si>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</si>
  <si>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CPQ11-ARCH-CHAI-SITE-R24.rvt</t>
    </r>
  </si>
  <si>
    <t>10.3 MB</t>
  </si>
  <si>
    <t>May 15, 2026 3:26 PM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</si>
  <si>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</si>
  <si>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CPQ11-ARCH-FACD-DATA-R24.rvt</t>
    </r>
  </si>
  <si>
    <t>132.9 MB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</si>
  <si>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</si>
  <si>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CPQ11-ARCH-HM90-DATA-R24.rvt</t>
    </r>
  </si>
  <si>
    <t>30.9 MB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</si>
  <si>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</si>
  <si>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CPQ11-ARCH-HMET-DATA-R24.rvt</t>
    </r>
  </si>
  <si>
    <t>75.2 MB</t>
  </si>
  <si>
    <t>May 15, 2026 4:56 PM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</si>
  <si>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</si>
  <si>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CPQ11-ARCH-HMET-SITE-R24.rvt</t>
    </r>
  </si>
  <si>
    <t>26.7 MB</t>
  </si>
  <si>
    <t>May 15, 2026 5:26 PM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</si>
  <si>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</si>
  <si>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CPQ11-ARCH-METL-SITE-R24.rvt</t>
    </r>
  </si>
  <si>
    <t>36.3 MB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</si>
  <si>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</si>
  <si>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CPQ11-ARCH-OHCD-DATA-R24.rvt</t>
    </r>
  </si>
  <si>
    <t>11.6 MB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</si>
  <si>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</si>
  <si>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CPQ11-ARCH-PART-C12A-R24.rvt</t>
    </r>
  </si>
  <si>
    <t>87.8 MB</t>
  </si>
  <si>
    <t>May 27, 2026 10:24 AM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</si>
  <si>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</si>
  <si>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CPQ11-ARCH-PART-C345-R24.rvt</t>
    </r>
  </si>
  <si>
    <t>68.2 MB</t>
  </si>
  <si>
    <t>May 19, 2026 2:37 PM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</si>
  <si>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</si>
  <si>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CPQ11-ARCH-PART-SITE-R24.rvt</t>
    </r>
  </si>
  <si>
    <t>21.6 MB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</si>
  <si>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</si>
  <si>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CPQ11-ARCH-ROOF-DATA-R24.rvt</t>
    </r>
  </si>
  <si>
    <t>22.6 MB</t>
  </si>
  <si>
    <t>May 20, 2026 3:57 PM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</si>
  <si>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</si>
  <si>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CPQ11-ARCH-SHLV-DATA-R24.rvt</t>
    </r>
  </si>
  <si>
    <t>23.3 MB</t>
  </si>
  <si>
    <t>May 20, 2026 5:54 PM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</si>
  <si>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</si>
  <si>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CPQ11-ARCH-STON-SITE-R24.rvt</t>
    </r>
  </si>
  <si>
    <t>10.4 MB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</si>
  <si>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</si>
  <si>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CPQ11-ARCH-WMES-DATA-R24.rvt</t>
    </r>
  </si>
  <si>
    <t>31.3 MB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</si>
  <si>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</si>
  <si>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CPQ11-ARCH-ARCH-DATA-R24.nwc</t>
    </r>
  </si>
  <si>
    <t>7 MB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</si>
  <si>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</si>
  <si>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CPQ11-ARCH-ARCH-SITE-R24.nwc</t>
    </r>
  </si>
  <si>
    <t>1.7 MB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</si>
  <si>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</si>
  <si>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CPQ11-ARCH-CHAI-SITE-R24.nwc</t>
    </r>
  </si>
  <si>
    <t>11.5 MB</t>
  </si>
  <si>
    <t>May 15, 2026 3:29 PM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</si>
  <si>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</si>
  <si>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CPQ11-ARCH-FACD-DATA-R24.nwc</t>
    </r>
  </si>
  <si>
    <t>120.4 MB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</si>
  <si>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</si>
  <si>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CPQ11-ARCH-HM90-DATA-R24.nwc</t>
    </r>
  </si>
  <si>
    <t>334.4 KB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</si>
  <si>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</si>
  <si>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CPQ11-ARCH-HMET-DATA-R24.nwc</t>
    </r>
  </si>
  <si>
    <t>3.2 MB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</si>
  <si>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</si>
  <si>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CPQ11-ARCH-HMET-SITE-R24.nwc</t>
    </r>
  </si>
  <si>
    <t>737.3 KB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</si>
  <si>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</si>
  <si>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CPQ11-ARCH-METL-SITE-R24.nwc</t>
    </r>
  </si>
  <si>
    <t>161.1 MB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</si>
  <si>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</si>
  <si>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CPQ11-ARCH-OHCD-DATA-R24.nwc</t>
    </r>
  </si>
  <si>
    <t>8.5 KB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</si>
  <si>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</si>
  <si>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CPQ11-ARCH-PART-C12A-R24.nwc</t>
    </r>
  </si>
  <si>
    <t>5.6 MB</t>
  </si>
  <si>
    <t>May 27, 2026 10:18 AM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</si>
  <si>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</si>
  <si>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CPQ11-ARCH-PART-C345-R24.nwc</t>
    </r>
  </si>
  <si>
    <t>3.8 MB</t>
  </si>
  <si>
    <t>May 19, 2026 2:27 PM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</si>
  <si>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</si>
  <si>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CPQ11-ARCH-PART-SITE-R24.nwc</t>
    </r>
  </si>
  <si>
    <t>677.6 KB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</si>
  <si>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</si>
  <si>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CPQ11-ARCH-ROOF-DATA-R24.nwc</t>
    </r>
  </si>
  <si>
    <t>12.6 MB</t>
  </si>
  <si>
    <t>May 20, 2026 3:41 PM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</si>
  <si>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</si>
  <si>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CPQ11-ARCH-STON-SITE-R24.nwc</t>
    </r>
  </si>
  <si>
    <t>298.8 KB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</si>
  <si>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</si>
  <si>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CPQ11-ARCH-WMES-DATA-R24.nwc</t>
    </r>
  </si>
  <si>
    <t>17.1 MB</t>
  </si>
  <si>
    <r>
      <rPr>
        <rFont val="Calibri"/>
        <b/>
        <color rgb="FF1155CC"/>
        <sz val="11.0"/>
        <u/>
      </rPr>
      <t>01-WORK IN PROGRESS/BIM/MODELS/DELEGATED DESIGN R24/CIVIL</t>
    </r>
  </si>
  <si>
    <r>
      <rPr>
        <rFont val="Calibri"/>
        <b/>
        <color rgb="FF1155CC"/>
        <sz val="11.0"/>
        <u/>
      </rPr>
      <t>CPQ11-CIVL-DRNG-SITE-R24.rvt</t>
    </r>
  </si>
  <si>
    <t>80.9 MB</t>
  </si>
  <si>
    <r>
      <rPr>
        <rFont val="Calibri"/>
        <b/>
        <color rgb="FF1155CC"/>
        <sz val="11.0"/>
        <u/>
      </rPr>
      <t>01-WORK IN PROGRESS/BIM/MODELS/DELEGATED DESIGN R24/CIVIL</t>
    </r>
  </si>
  <si>
    <r>
      <rPr>
        <rFont val="Calibri"/>
        <b/>
        <color rgb="FF1155CC"/>
        <sz val="11.0"/>
        <u/>
      </rPr>
      <t>CPQ11-CIVL-ERTH-SITE-R24.rvt</t>
    </r>
  </si>
  <si>
    <t>38.7 MB</t>
  </si>
  <si>
    <r>
      <rPr>
        <rFont val="Calibri"/>
        <b/>
        <color rgb="FF1155CC"/>
        <sz val="11.0"/>
        <u/>
      </rPr>
      <t>01-WORK IN PROGRESS/BIM/MODELS/DELEGATED DESIGN R24/CIVIL</t>
    </r>
  </si>
  <si>
    <r>
      <rPr>
        <rFont val="Calibri"/>
        <b/>
        <color rgb="FF1155CC"/>
        <sz val="11.0"/>
        <u/>
      </rPr>
      <t>CPQ11-CIVL-LOCK-SITE-R24.rvt</t>
    </r>
  </si>
  <si>
    <t>332.3 MB</t>
  </si>
  <si>
    <t>May 18, 2026 5:11 PM</t>
  </si>
  <si>
    <r>
      <rPr>
        <rFont val="Calibri"/>
        <b/>
        <color rgb="FF1155CC"/>
        <sz val="11.0"/>
        <u/>
      </rPr>
      <t>01-WORK IN PROGRESS/BIM/MODELS/DELEGATED DESIGN R24/CIVIL</t>
    </r>
  </si>
  <si>
    <r>
      <rPr>
        <rFont val="Calibri"/>
        <b/>
        <color rgb="FF1155CC"/>
        <sz val="11.0"/>
        <u/>
      </rPr>
      <t>CPQ11-CIVL-PAVM-SITE-R24.rvt</t>
    </r>
  </si>
  <si>
    <t>47.1 MB</t>
  </si>
  <si>
    <t>May 20, 2026 3:44 PM</t>
  </si>
  <si>
    <r>
      <rPr>
        <rFont val="Calibri"/>
        <b/>
        <color rgb="FF1155CC"/>
        <sz val="11.0"/>
        <u/>
      </rPr>
      <t>01-WORK IN PROGRESS/BIM/MODELS/DELEGATED DESIGN R24/CIVIL/NWC</t>
    </r>
  </si>
  <si>
    <r>
      <rPr>
        <rFont val="Calibri"/>
        <b/>
        <color rgb="FF1155CC"/>
        <sz val="11.0"/>
        <u/>
      </rPr>
      <t>CPQ11-CIVL-DRNG-SITE-R24.nwc</t>
    </r>
  </si>
  <si>
    <t>11.9 MB</t>
  </si>
  <si>
    <r>
      <rPr>
        <rFont val="Calibri"/>
        <b/>
        <color rgb="FF1155CC"/>
        <sz val="11.0"/>
        <u/>
      </rPr>
      <t>01-WORK IN PROGRESS/BIM/MODELS/DELEGATED DESIGN R24/CIVIL/NWC</t>
    </r>
  </si>
  <si>
    <r>
      <rPr>
        <rFont val="Calibri"/>
        <b/>
        <color rgb="FF1155CC"/>
        <sz val="11.0"/>
        <u/>
      </rPr>
      <t>CPQ11-CIVL-ERTH-SITE-R24.nwc</t>
    </r>
  </si>
  <si>
    <t>2 MB</t>
  </si>
  <si>
    <r>
      <rPr>
        <rFont val="Calibri"/>
        <b/>
        <color rgb="FF1155CC"/>
        <sz val="11.0"/>
        <u/>
      </rPr>
      <t>01-WORK IN PROGRESS/BIM/MODELS/DELEGATED DESIGN R24/CIVIL/NWC</t>
    </r>
  </si>
  <si>
    <r>
      <rPr>
        <rFont val="Calibri"/>
        <b/>
        <color rgb="FF1155CC"/>
        <sz val="11.0"/>
        <u/>
      </rPr>
      <t>CPQ11-CIVL-LOCK-SITE-R24.nwc</t>
    </r>
  </si>
  <si>
    <t>187.1 MB</t>
  </si>
  <si>
    <t>May 18, 2026 5:01 PM</t>
  </si>
  <si>
    <r>
      <rPr>
        <rFont val="Calibri"/>
        <b/>
        <color rgb="FF1155CC"/>
        <sz val="11.0"/>
        <u/>
      </rPr>
      <t>01-WORK IN PROGRESS/BIM/MODELS/DELEGATED DESIGN R24/CIVIL/NWC</t>
    </r>
  </si>
  <si>
    <r>
      <rPr>
        <rFont val="Calibri"/>
        <b/>
        <color rgb="FF1155CC"/>
        <sz val="11.0"/>
        <u/>
      </rPr>
      <t>CPQ11-CIVL-PAVM-SITE-R24.nwc</t>
    </r>
  </si>
  <si>
    <t>14 MB</t>
  </si>
  <si>
    <r>
      <rPr>
        <rFont val="Calibri"/>
        <b/>
        <color rgb="FF1155CC"/>
        <sz val="11.0"/>
        <u/>
      </rPr>
      <t>01-WORK IN PROGRESS/BIM/MODELS/DELEGATED DESIGN R24/MECH</t>
    </r>
  </si>
  <si>
    <r>
      <rPr>
        <rFont val="Calibri"/>
        <b/>
        <color rgb="FF1155CC"/>
        <sz val="11.0"/>
        <u/>
      </rPr>
      <t>CPQ11-MECH-MECH-DATA-R24.rvt</t>
    </r>
  </si>
  <si>
    <t>220 MB</t>
  </si>
  <si>
    <r>
      <rPr>
        <rFont val="Calibri"/>
        <b/>
        <color rgb="FF1155CC"/>
        <sz val="11.0"/>
        <u/>
      </rPr>
      <t>01-WORK IN PROGRESS/BIM/MODELS/DELEGATED DESIGN R24/MECH</t>
    </r>
  </si>
  <si>
    <r>
      <rPr>
        <rFont val="Calibri"/>
        <b/>
        <color rgb="FF1155CC"/>
        <sz val="11.0"/>
        <u/>
      </rPr>
      <t>CPQ11-MECH-MECH-GUAR-R24.rvt</t>
    </r>
  </si>
  <si>
    <t>123.7 MB</t>
  </si>
  <si>
    <t>May 19, 2026 2:43 PM</t>
  </si>
  <si>
    <r>
      <rPr>
        <rFont val="Calibri"/>
        <b/>
        <color rgb="FF1155CC"/>
        <sz val="11.0"/>
        <u/>
      </rPr>
      <t>01-WORK IN PROGRESS/BIM/MODELS/DELEGATED DESIGN R24/MECH</t>
    </r>
  </si>
  <si>
    <r>
      <rPr>
        <rFont val="Calibri"/>
        <b/>
        <color rgb="FF1155CC"/>
        <sz val="11.0"/>
        <u/>
      </rPr>
      <t>CPQ11-PLMB-METK-UTLS-R24.rvt</t>
    </r>
  </si>
  <si>
    <t>62.2 MB</t>
  </si>
  <si>
    <r>
      <rPr>
        <rFont val="Calibri"/>
        <b/>
        <color rgb="FF1155CC"/>
        <sz val="11.0"/>
        <u/>
      </rPr>
      <t>01-WORK IN PROGRESS/BIM/MODELS/DELEGATED DESIGN R24/MECH</t>
    </r>
  </si>
  <si>
    <r>
      <rPr>
        <rFont val="Calibri"/>
        <b/>
        <color rgb="FF1155CC"/>
        <sz val="11.0"/>
        <u/>
      </rPr>
      <t>CPQ11-PLMB-NPWT-DATA-R24.rvt</t>
    </r>
  </si>
  <si>
    <t>177.4 MB</t>
  </si>
  <si>
    <r>
      <rPr>
        <rFont val="Calibri"/>
        <b/>
        <color rgb="FF1155CC"/>
        <sz val="11.0"/>
        <u/>
      </rPr>
      <t>01-WORK IN PROGRESS/BIM/MODELS/DELEGATED DESIGN R24/MECH</t>
    </r>
  </si>
  <si>
    <r>
      <rPr>
        <rFont val="Calibri"/>
        <b/>
        <color rgb="FF1155CC"/>
        <sz val="11.0"/>
        <u/>
      </rPr>
      <t>CPQ11-PLMB-NPWT-SITE-R24.rvt</t>
    </r>
  </si>
  <si>
    <t>127.6 MB</t>
  </si>
  <si>
    <r>
      <rPr>
        <rFont val="Calibri"/>
        <b/>
        <color rgb="FF1155CC"/>
        <sz val="11.0"/>
        <u/>
      </rPr>
      <t>01-WORK IN PROGRESS/BIM/MODELS/DELEGATED DESIGN R24/MECH/NWC</t>
    </r>
  </si>
  <si>
    <r>
      <rPr>
        <rFont val="Calibri"/>
        <b/>
        <color rgb="FF1155CC"/>
        <sz val="11.0"/>
        <u/>
      </rPr>
      <t>CPQ11-MECH-MECH-DATA-R24.nwc</t>
    </r>
  </si>
  <si>
    <t>30.1 MB</t>
  </si>
  <si>
    <r>
      <rPr>
        <rFont val="Calibri"/>
        <b/>
        <color rgb="FF1155CC"/>
        <sz val="11.0"/>
        <u/>
      </rPr>
      <t>01-WORK IN PROGRESS/BIM/MODELS/DELEGATED DESIGN R24/MECH/NWC</t>
    </r>
  </si>
  <si>
    <r>
      <rPr>
        <rFont val="Calibri"/>
        <b/>
        <color rgb="FF1155CC"/>
        <sz val="11.0"/>
        <u/>
      </rPr>
      <t>CPQ11-MECH-MECH-GUAR-R24.nwc</t>
    </r>
  </si>
  <si>
    <t>863.2 KB</t>
  </si>
  <si>
    <t>May 15, 2026 1:24 PM</t>
  </si>
  <si>
    <r>
      <rPr>
        <rFont val="Calibri"/>
        <b/>
        <color rgb="FF1155CC"/>
        <sz val="11.0"/>
        <u/>
      </rPr>
      <t>01-WORK IN PROGRESS/BIM/MODELS/DELEGATED DESIGN R24/MECH/NWC</t>
    </r>
  </si>
  <si>
    <r>
      <rPr>
        <rFont val="Calibri"/>
        <b/>
        <color rgb="FF1155CC"/>
        <sz val="11.0"/>
        <u/>
      </rPr>
      <t>CPQ11-PLMB-METK-UTLS-R24.nwc</t>
    </r>
  </si>
  <si>
    <t>3.1 MB</t>
  </si>
  <si>
    <r>
      <rPr>
        <rFont val="Calibri"/>
        <b/>
        <color rgb="FF1155CC"/>
        <sz val="11.0"/>
        <u/>
      </rPr>
      <t>01-WORK IN PROGRESS/BIM/MODELS/DELEGATED DESIGN R24/MECH/NWC</t>
    </r>
  </si>
  <si>
    <r>
      <rPr>
        <rFont val="Calibri"/>
        <b/>
        <color rgb="FF1155CC"/>
        <sz val="11.0"/>
        <u/>
      </rPr>
      <t>CPQ11-PLMB-NPWT-DATA-R24.nwc</t>
    </r>
  </si>
  <si>
    <t>12.7 MB</t>
  </si>
  <si>
    <r>
      <rPr>
        <rFont val="Calibri"/>
        <b/>
        <color rgb="FF1155CC"/>
        <sz val="11.0"/>
        <u/>
      </rPr>
      <t>01-WORK IN PROGRESS/BIM/MODELS/DELEGATED DESIGN R24/MECH/NWC</t>
    </r>
  </si>
  <si>
    <r>
      <rPr>
        <rFont val="Calibri"/>
        <b/>
        <color rgb="FF1155CC"/>
        <sz val="11.0"/>
        <u/>
      </rPr>
      <t>CPQ11-PLMB-NPWT-SITE-R24.nwc</t>
    </r>
  </si>
  <si>
    <t>5.4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</si>
  <si>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</si>
  <si>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CPQ11-BASM-DEVS-DATA-R24.rvt</t>
    </r>
  </si>
  <si>
    <t>53.4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</si>
  <si>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</si>
  <si>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CPQ11-BASM-DEVS-PUMP-R24.rvt</t>
    </r>
  </si>
  <si>
    <t>42.4 MB</t>
  </si>
  <si>
    <t>May 15, 2026 5:44 PM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</si>
  <si>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</si>
  <si>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CPQ11-BASM-INFR-DATA-R24.rvt</t>
    </r>
  </si>
  <si>
    <t>66.1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</si>
  <si>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</si>
  <si>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CPQ11-BASM-INFR-PUMP-R24.rvt</t>
    </r>
  </si>
  <si>
    <t>34.4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</si>
  <si>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</si>
  <si>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CPQ11-DALI-DEVS-DATA-R24.rvt</t>
    </r>
  </si>
  <si>
    <t>215.4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</si>
  <si>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</si>
  <si>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CPQ11-DASM-DEVS-DATA-R24.rvt</t>
    </r>
  </si>
  <si>
    <t>340.4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</si>
  <si>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</si>
  <si>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CPQ11-ELEC-ELEC-DATA-R24.rvt</t>
    </r>
  </si>
  <si>
    <t>302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</si>
  <si>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</si>
  <si>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CPQ11-ELEC-ELEC-SITE-R24.rvt</t>
    </r>
  </si>
  <si>
    <t>45.4 MB</t>
  </si>
  <si>
    <t>May 19, 2026 3:56 PM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</si>
  <si>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</si>
  <si>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CPQ11-ELEC-SPDA-DATA-R24.rvt</t>
    </r>
  </si>
  <si>
    <t>118.1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</si>
  <si>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</si>
  <si>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CPQ11-ELEC-SPDA-SITE-R24.rvt</t>
    </r>
  </si>
  <si>
    <t>70.9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</si>
  <si>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</si>
  <si>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CPQ11-EPMS-DEVS-DATA-R24.rvt</t>
    </r>
  </si>
  <si>
    <t>27.3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</si>
  <si>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</si>
  <si>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CPQ11-EPMS-DEVS-SITE-R24.rvt</t>
    </r>
  </si>
  <si>
    <t>15.5 MB</t>
  </si>
  <si>
    <t>May 15, 2026 5:45 PM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</si>
  <si>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</si>
  <si>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CPQ11-FALM-FALM-DATA-R24.rvt</t>
    </r>
  </si>
  <si>
    <t>71.8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</si>
  <si>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</si>
  <si>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CPQ11-FALM-FALM-SITE-R24.rvt</t>
    </r>
  </si>
  <si>
    <t>17.5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</si>
  <si>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</si>
  <si>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CPQ11-FPRT-FPRT-DATA-R24.rvt</t>
    </r>
  </si>
  <si>
    <t>140.8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</si>
  <si>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</si>
  <si>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CPQ11-FPRT-FPRT-SITE-R24.rvt</t>
    </r>
  </si>
  <si>
    <t>92.9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</si>
  <si>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</si>
  <si>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CPQ11-FPRT-METK-UTLS-R24.rvt</t>
    </r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</si>
  <si>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</si>
  <si>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CPQ11-PLMB-DIES-SITE-R24.rvt</t>
    </r>
  </si>
  <si>
    <t>11.8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</si>
  <si>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</si>
  <si>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CPQ11-PLMB-PLMB-DATA-R24.rvt</t>
    </r>
  </si>
  <si>
    <t>138.1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</si>
  <si>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</si>
  <si>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CPQ11-PLMB-PLMB-SITE-R24.rvt</t>
    </r>
  </si>
  <si>
    <t>68.6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</si>
  <si>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</si>
  <si>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CPQ11-ROIP-DEVS-DATA-R24.rvt</t>
    </r>
  </si>
  <si>
    <t>698.8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</si>
  <si>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</si>
  <si>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CPQ11-ROIP-DEVS-GUAR-R24.rvt</t>
    </r>
  </si>
  <si>
    <t>39.5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</si>
  <si>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</si>
  <si>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CPQ11-SCTY-DEVS-DATA-R24.rvt</t>
    </r>
  </si>
  <si>
    <t>232.5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</si>
  <si>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</si>
  <si>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CPQ11-SCTY-DEVS-SITE-R24.rvt</t>
    </r>
  </si>
  <si>
    <t>234.5 MB</t>
  </si>
  <si>
    <t>May 20, 2026 9:33 AM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</si>
  <si>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</si>
  <si>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CPQ11-SCTY-GATE-SITE-R24.ifc</t>
    </r>
  </si>
  <si>
    <t>48 MB</t>
  </si>
  <si>
    <t>May 19, 2026 2:19 PM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</si>
  <si>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</si>
  <si>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CPQ11-SCTY-GATE-SITE-R24.rvt</t>
    </r>
  </si>
  <si>
    <t>94.6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</si>
  <si>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</si>
  <si>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CPQ11-SCTY-INFR-DATA-R24.rvt</t>
    </r>
  </si>
  <si>
    <t>35.1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</si>
  <si>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</si>
  <si>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CPQ11-SCTY-INFR-SITE-R24.rvt</t>
    </r>
  </si>
  <si>
    <t>33.5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</si>
  <si>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</si>
  <si>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CPQ11-SYST-INFR-DATA-R24.rvt</t>
    </r>
  </si>
  <si>
    <t>121.7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</si>
  <si>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</si>
  <si>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CPQ11-SYST-INFR-SITE-R24.rvt</t>
    </r>
  </si>
  <si>
    <t>79.4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</si>
  <si>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</si>
  <si>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CPQ11-TCOM-DEVS-DATA-R24.rvt</t>
    </r>
  </si>
  <si>
    <t>121.8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</si>
  <si>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</si>
  <si>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CPQ11-TCOM-DEVS-SITE-R24.rvt</t>
    </r>
  </si>
  <si>
    <t>40.3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</si>
  <si>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</si>
  <si>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CPQ11-BASM-DEVS-DATA-R24.nwc</t>
    </r>
  </si>
  <si>
    <t>1.6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</si>
  <si>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</si>
  <si>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CPQ11-BASM-DEVS-PUMP-R24.nwc</t>
    </r>
  </si>
  <si>
    <t>830 KB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</si>
  <si>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</si>
  <si>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CPQ11-BASM-INFR-DATA-R24.nwc</t>
    </r>
  </si>
  <si>
    <t>40.9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</si>
  <si>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</si>
  <si>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CPQ11-BASM-INFR-PUMP-R24.nwc</t>
    </r>
  </si>
  <si>
    <t>1.3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</si>
  <si>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</si>
  <si>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CPQ11-DALI-DEVS-DATA-R24.nwc</t>
    </r>
  </si>
  <si>
    <t>2.2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</si>
  <si>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</si>
  <si>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CPQ11-DASM-DEVS-DATA-R24.nwc</t>
    </r>
  </si>
  <si>
    <t>33.1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</si>
  <si>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</si>
  <si>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CPQ11-ELEC-ELEC-DATA-R24.nwc</t>
    </r>
  </si>
  <si>
    <t>199.5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</si>
  <si>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</si>
  <si>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CPQ11-ELEC-ELEC-SITE-R24.nwc</t>
    </r>
  </si>
  <si>
    <t>162.7 MB</t>
  </si>
  <si>
    <t>May 18, 2026 8:11 AM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</si>
  <si>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</si>
  <si>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CPQ11-ELEC-SPDA-DATA-R24.nwc</t>
    </r>
  </si>
  <si>
    <t>55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</si>
  <si>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</si>
  <si>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CPQ11-ELEC-SPDA-SITE-R24.nwc</t>
    </r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</si>
  <si>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</si>
  <si>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CPQ11-EPMS-DEVS-DATA-R24.nwc</t>
    </r>
  </si>
  <si>
    <t>57.2 KB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</si>
  <si>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</si>
  <si>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CPQ11-EPMS-DEVS-SITE-R24.nwc</t>
    </r>
  </si>
  <si>
    <t>70.1 KB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</si>
  <si>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</si>
  <si>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CPQ11-FALM-FALM-DATA-R24.nwc</t>
    </r>
  </si>
  <si>
    <t>142.4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</si>
  <si>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</si>
  <si>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CPQ11-FALM-FALM-SITE-R24.nwc</t>
    </r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</si>
  <si>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</si>
  <si>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CPQ11-FPRT-FPRT-DATA-R24.nwc</t>
    </r>
  </si>
  <si>
    <t>111.7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</si>
  <si>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</si>
  <si>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CPQ11-FPRT-FPRT-SITE-R24.nwc</t>
    </r>
  </si>
  <si>
    <t>19.2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</si>
  <si>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</si>
  <si>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CPQ11-FPRT-METK-UTLS-R24.nwc</t>
    </r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</si>
  <si>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</si>
  <si>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CPQ11-PLMB-DIES-SITE-R24.nwc</t>
    </r>
  </si>
  <si>
    <t>3.9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</si>
  <si>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</si>
  <si>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CPQ11-PLMB-PLMB-DATA-R24.nwc</t>
    </r>
  </si>
  <si>
    <t>31.4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</si>
  <si>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</si>
  <si>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CPQ11-PLMB-PLMB-SITE-R24.nwc</t>
    </r>
  </si>
  <si>
    <t>6.7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</si>
  <si>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</si>
  <si>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CPQ11-ROIP-DEVS-DATA-R24.nwc</t>
    </r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</si>
  <si>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</si>
  <si>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CPQ11-ROIP-DEVS-GUAR-R24.nwc</t>
    </r>
  </si>
  <si>
    <t>2.3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</si>
  <si>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</si>
  <si>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CPQ11-SCTY-DEVS-DATA-R24.nwc</t>
    </r>
  </si>
  <si>
    <t>4.6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</si>
  <si>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</si>
  <si>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CPQ11-SCTY-GATE-SITE-R24.nwc</t>
    </r>
  </si>
  <si>
    <t>4.7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</si>
  <si>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</si>
  <si>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CPQ11-SCTY-INFR-DATA-R24.nwc</t>
    </r>
  </si>
  <si>
    <t>35.9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</si>
  <si>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</si>
  <si>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CPQ11-SCTY-INFR-SITE-R24.nwc</t>
    </r>
  </si>
  <si>
    <t>915.3 KB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</si>
  <si>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</si>
  <si>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CPQ11-SYST-INFR-DATA-R24.nwc</t>
    </r>
  </si>
  <si>
    <t>62.5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</si>
  <si>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</si>
  <si>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CPQ11-SYST-INFR-SITE-R24.nwc</t>
    </r>
  </si>
  <si>
    <t>155.4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</si>
  <si>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</si>
  <si>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CPQ11-TCOM-DEVS-DATA-R24.nwc</t>
    </r>
  </si>
  <si>
    <t>6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</si>
  <si>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</si>
  <si>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CPQ11-TCOM-DEVS-SITE-R24.nwc</t>
    </r>
  </si>
  <si>
    <t>190.4 KB</t>
  </si>
  <si>
    <r>
      <rPr>
        <rFont val="Calibri"/>
        <b/>
        <color rgb="FF1155CC"/>
        <sz val="11.0"/>
        <u/>
      </rPr>
      <t>01-WORK IN PROGRESS/BIM/MODELS/DELEGATED DESIGN R24/STEEL</t>
    </r>
  </si>
  <si>
    <r>
      <rPr>
        <rFont val="Calibri"/>
        <b/>
        <color rgb="FF1155CC"/>
        <sz val="11.0"/>
        <u/>
      </rPr>
      <t>CPQ11-STRC-STEE-ADMN-R24.rvt</t>
    </r>
  </si>
  <si>
    <t>213.2 MB</t>
  </si>
  <si>
    <t>May 20, 2026 9:25 AM</t>
  </si>
  <si>
    <r>
      <rPr>
        <rFont val="Calibri"/>
        <b/>
        <color rgb="FF1155CC"/>
        <sz val="11.0"/>
        <u/>
      </rPr>
      <t>01-WORK IN PROGRESS/BIM/MODELS/DELEGATED DESIGN R24/STEEL</t>
    </r>
  </si>
  <si>
    <r>
      <rPr>
        <rFont val="Calibri"/>
        <b/>
        <color rgb="FF1155CC"/>
        <sz val="11.0"/>
        <u/>
      </rPr>
      <t>CPQ11-STRC-STEE-COL1-R24.rvt</t>
    </r>
  </si>
  <si>
    <t>645.9 MB</t>
  </si>
  <si>
    <t>May 20, 2026 11:13 AM</t>
  </si>
  <si>
    <r>
      <rPr>
        <rFont val="Calibri"/>
        <b/>
        <color rgb="FF1155CC"/>
        <sz val="11.0"/>
        <u/>
      </rPr>
      <t>01-WORK IN PROGRESS/BIM/MODELS/DELEGATED DESIGN R24/STEEL</t>
    </r>
  </si>
  <si>
    <r>
      <rPr>
        <rFont val="Calibri"/>
        <b/>
        <color rgb="FF1155CC"/>
        <sz val="11.0"/>
        <u/>
      </rPr>
      <t>CPQ11-STRC-STEE-COL2-R24.rvt</t>
    </r>
  </si>
  <si>
    <t>724 MB</t>
  </si>
  <si>
    <t>May 20, 2026 12:45 PM</t>
  </si>
  <si>
    <r>
      <rPr>
        <rFont val="Calibri"/>
        <b/>
        <color rgb="FF1155CC"/>
        <sz val="11.0"/>
        <u/>
      </rPr>
      <t>01-WORK IN PROGRESS/BIM/MODELS/DELEGATED DESIGN R24/STEEL</t>
    </r>
  </si>
  <si>
    <r>
      <rPr>
        <rFont val="Calibri"/>
        <b/>
        <color rgb="FF1155CC"/>
        <sz val="11.0"/>
        <u/>
      </rPr>
      <t>CPQ11-STRC-STEE-COL3-R24.rvt</t>
    </r>
  </si>
  <si>
    <t>724.3 MB</t>
  </si>
  <si>
    <t>May 20, 2026 2:16 PM</t>
  </si>
  <si>
    <r>
      <rPr>
        <rFont val="Calibri"/>
        <b/>
        <color rgb="FF1155CC"/>
        <sz val="11.0"/>
        <u/>
      </rPr>
      <t>01-WORK IN PROGRESS/BIM/MODELS/DELEGATED DESIGN R24/STEEL</t>
    </r>
  </si>
  <si>
    <r>
      <rPr>
        <rFont val="Calibri"/>
        <b/>
        <color rgb="FF1155CC"/>
        <sz val="11.0"/>
        <u/>
      </rPr>
      <t>CPQ11-STRC-STEE-COL4-R24.rvt</t>
    </r>
  </si>
  <si>
    <t>661.3 MB</t>
  </si>
  <si>
    <t>May 20, 2026 5:52 PM</t>
  </si>
  <si>
    <r>
      <rPr>
        <rFont val="Calibri"/>
        <b/>
        <color rgb="FF1155CC"/>
        <sz val="11.0"/>
        <u/>
      </rPr>
      <t>01-WORK IN PROGRESS/BIM/MODELS/DELEGATED DESIGN R24/STEEL</t>
    </r>
  </si>
  <si>
    <r>
      <rPr>
        <rFont val="Calibri"/>
        <b/>
        <color rgb="FF1155CC"/>
        <sz val="11.0"/>
        <u/>
      </rPr>
      <t>CPQ11-STRC-STEE-COL5-R24.rvt</t>
    </r>
  </si>
  <si>
    <t>740.2 MB</t>
  </si>
  <si>
    <t>May 20, 2026 5:51 PM</t>
  </si>
  <si>
    <r>
      <rPr>
        <rFont val="Calibri"/>
        <b/>
        <color rgb="FF1155CC"/>
        <sz val="11.0"/>
        <u/>
      </rPr>
      <t>01-WORK IN PROGRESS/BIM/MODELS/DELEGATED DESIGN R24/STEEL</t>
    </r>
  </si>
  <si>
    <r>
      <rPr>
        <rFont val="Calibri"/>
        <b/>
        <color rgb="FF1155CC"/>
        <sz val="11.0"/>
        <u/>
      </rPr>
      <t>CPQ11-STRC-STEE-GUAR-R24.rvt</t>
    </r>
  </si>
  <si>
    <t>25.1 MB</t>
  </si>
  <si>
    <t>May 20, 2026 3:49 PM</t>
  </si>
  <si>
    <r>
      <rPr>
        <rFont val="Calibri"/>
        <b/>
        <color rgb="FF1155CC"/>
        <sz val="11.0"/>
        <u/>
      </rPr>
      <t>01-WORK IN PROGRESS/BIM/MODELS/DELEGATED DESIGN R24/STEEL</t>
    </r>
  </si>
  <si>
    <r>
      <rPr>
        <rFont val="Calibri"/>
        <b/>
        <color rgb="FF1155CC"/>
        <sz val="11.0"/>
        <u/>
      </rPr>
      <t>CPQ11-STRC-STEE-STIR-R24.rvt</t>
    </r>
  </si>
  <si>
    <t>103.7 MB</t>
  </si>
  <si>
    <t>May 20, 2026 4:13 PM</t>
  </si>
  <si>
    <r>
      <rPr>
        <rFont val="Calibri"/>
        <b/>
        <color rgb="FF1155CC"/>
        <sz val="11.0"/>
        <u/>
      </rPr>
      <t>01-WORK IN PROGRESS/BIM/MODELS/DELEGATED DESIGN R24/STEEL</t>
    </r>
  </si>
  <si>
    <r>
      <rPr>
        <rFont val="Calibri"/>
        <b/>
        <color rgb="FF1155CC"/>
        <sz val="11.0"/>
        <u/>
      </rPr>
      <t>CPQ11-STRC-STEE-UTLS-R24.rvt</t>
    </r>
  </si>
  <si>
    <t>101.8 MB</t>
  </si>
  <si>
    <t>May 20, 2026 4:24 PM</t>
  </si>
  <si>
    <r>
      <rPr>
        <rFont val="Calibri"/>
        <b/>
        <color rgb="FF1155CC"/>
        <sz val="11.0"/>
        <u/>
      </rPr>
      <t>01-WORK IN PROGRESS/BIM/MODELS/DELEGATED DESIGN R24/STEEL/IFC</t>
    </r>
  </si>
  <si>
    <r>
      <rPr>
        <rFont val="Calibri"/>
        <b/>
        <color rgb="FF1155CC"/>
        <sz val="11.0"/>
        <u/>
      </rPr>
      <t>837-RACIONAL-PROJETO_GALILEU.zip</t>
    </r>
  </si>
  <si>
    <t>Not synced</t>
  </si>
  <si>
    <t>303.1 MB</t>
  </si>
  <si>
    <t>May 21, 2026 5:25 PM</t>
  </si>
  <si>
    <r>
      <rPr>
        <rFont val="Calibri"/>
        <b/>
        <color rgb="FF1155CC"/>
        <sz val="11.0"/>
        <u/>
      </rPr>
      <t>01-WORK IN PROGRESS/BIM/MODELS/DELEGATED DESIGN R24/STEEL/IFC</t>
    </r>
  </si>
  <si>
    <r>
      <rPr>
        <rFont val="Calibri"/>
        <b/>
        <color rgb="FF1155CC"/>
        <sz val="11.0"/>
        <u/>
      </rPr>
      <t>CPQ11-STRC-STEE-ADMN-2X3.ifc</t>
    </r>
  </si>
  <si>
    <t>36.5 MB</t>
  </si>
  <si>
    <r>
      <rPr>
        <rFont val="Calibri"/>
        <b/>
        <color rgb="FF1155CC"/>
        <sz val="11.0"/>
        <u/>
      </rPr>
      <t>01-WORK IN PROGRESS/BIM/MODELS/DELEGATED DESIGN R24/STEEL/IFC</t>
    </r>
  </si>
  <si>
    <r>
      <rPr>
        <rFont val="Calibri"/>
        <b/>
        <color rgb="FF1155CC"/>
        <sz val="11.0"/>
        <u/>
      </rPr>
      <t>CPQ11-STRC-STEE-COL1-2X3.ifc</t>
    </r>
  </si>
  <si>
    <t>84.9 MB</t>
  </si>
  <si>
    <r>
      <rPr>
        <rFont val="Calibri"/>
        <b/>
        <color rgb="FF1155CC"/>
        <sz val="11.0"/>
        <u/>
      </rPr>
      <t>01-WORK IN PROGRESS/BIM/MODELS/DELEGATED DESIGN R24/STEEL/IFC</t>
    </r>
  </si>
  <si>
    <r>
      <rPr>
        <rFont val="Calibri"/>
        <b/>
        <color rgb="FF1155CC"/>
        <sz val="11.0"/>
        <u/>
      </rPr>
      <t>CPQ11-STRC-STEE-COL2-2X3.ifc</t>
    </r>
  </si>
  <si>
    <t>88.7 MB</t>
  </si>
  <si>
    <r>
      <rPr>
        <rFont val="Calibri"/>
        <b/>
        <color rgb="FF1155CC"/>
        <sz val="11.0"/>
        <u/>
      </rPr>
      <t>01-WORK IN PROGRESS/BIM/MODELS/DELEGATED DESIGN R24/STEEL/IFC</t>
    </r>
  </si>
  <si>
    <r>
      <rPr>
        <rFont val="Calibri"/>
        <b/>
        <color rgb="FF1155CC"/>
        <sz val="11.0"/>
        <u/>
      </rPr>
      <t>CPQ11-STRC-STEE-COL3-2X3.ifc</t>
    </r>
  </si>
  <si>
    <t>88.9 MB</t>
  </si>
  <si>
    <r>
      <rPr>
        <rFont val="Calibri"/>
        <b/>
        <color rgb="FF1155CC"/>
        <sz val="11.0"/>
        <u/>
      </rPr>
      <t>01-WORK IN PROGRESS/BIM/MODELS/DELEGATED DESIGN R24/STEEL/IFC</t>
    </r>
  </si>
  <si>
    <r>
      <rPr>
        <rFont val="Calibri"/>
        <b/>
        <color rgb="FF1155CC"/>
        <sz val="11.0"/>
        <u/>
      </rPr>
      <t>CPQ11-STRC-STEE-COL4-2X3.ifc</t>
    </r>
  </si>
  <si>
    <t>90.6 MB</t>
  </si>
  <si>
    <r>
      <rPr>
        <rFont val="Calibri"/>
        <b/>
        <color rgb="FF1155CC"/>
        <sz val="11.0"/>
        <u/>
      </rPr>
      <t>01-WORK IN PROGRESS/BIM/MODELS/DELEGATED DESIGN R24/STEEL/IFC</t>
    </r>
  </si>
  <si>
    <r>
      <rPr>
        <rFont val="Calibri"/>
        <b/>
        <color rgb="FF1155CC"/>
        <sz val="11.0"/>
        <u/>
      </rPr>
      <t>CPQ11-STRC-STEE-COL5-2X3.ifc</t>
    </r>
  </si>
  <si>
    <r>
      <rPr>
        <rFont val="Calibri"/>
        <b/>
        <color rgb="FF1155CC"/>
        <sz val="11.0"/>
        <u/>
      </rPr>
      <t>01-WORK IN PROGRESS/BIM/MODELS/DELEGATED DESIGN R24/STEEL/IFC</t>
    </r>
  </si>
  <si>
    <r>
      <rPr>
        <rFont val="Calibri"/>
        <b/>
        <color rgb="FF1155CC"/>
        <sz val="11.0"/>
        <u/>
      </rPr>
      <t>CPQ11-STRC-STEE-GUAR-2X3.ifc</t>
    </r>
  </si>
  <si>
    <t>4 MB</t>
  </si>
  <si>
    <r>
      <rPr>
        <rFont val="Calibri"/>
        <b/>
        <color rgb="FF1155CC"/>
        <sz val="11.0"/>
        <u/>
      </rPr>
      <t>01-WORK IN PROGRESS/BIM/MODELS/DELEGATED DESIGN R24/STEEL/IFC</t>
    </r>
  </si>
  <si>
    <r>
      <rPr>
        <rFont val="Calibri"/>
        <b/>
        <color rgb="FF1155CC"/>
        <sz val="11.0"/>
        <u/>
      </rPr>
      <t>CPQ11-STRC-STEE-STIR-2X3.ifc</t>
    </r>
  </si>
  <si>
    <t>12.2 MB</t>
  </si>
  <si>
    <r>
      <rPr>
        <rFont val="Calibri"/>
        <b/>
        <color rgb="FF1155CC"/>
        <sz val="11.0"/>
        <u/>
      </rPr>
      <t>01-WORK IN PROGRESS/BIM/MODELS/DELEGATED DESIGN R24/STEEL/IFC</t>
    </r>
  </si>
  <si>
    <r>
      <rPr>
        <rFont val="Calibri"/>
        <b/>
        <color rgb="FF1155CC"/>
        <sz val="11.0"/>
        <u/>
      </rPr>
      <t>CPQ11-STRC-STEE-UTLS-2X3.ifc</t>
    </r>
  </si>
  <si>
    <t>18.2 MB</t>
  </si>
  <si>
    <r>
      <rPr>
        <rFont val="Calibri"/>
        <b/>
        <color rgb="FF1155CC"/>
        <sz val="11.0"/>
        <u/>
      </rPr>
      <t>01-WORK IN PROGRESS/BIM/MODELS/DELEGATED DESIGN R24/STRC</t>
    </r>
  </si>
  <si>
    <r>
      <rPr>
        <rFont val="Calibri"/>
        <b/>
        <color rgb="FF1155CC"/>
        <sz val="11.0"/>
        <u/>
      </rPr>
      <t>CPQ11-STRC-CONC-DATA-R24.rvt</t>
    </r>
  </si>
  <si>
    <t>16.9 MB</t>
  </si>
  <si>
    <t>May 15, 2026 8:51 AM</t>
  </si>
  <si>
    <r>
      <rPr>
        <rFont val="Calibri"/>
        <b/>
        <color rgb="FF1155CC"/>
        <sz val="11.0"/>
        <u/>
      </rPr>
      <t>01-WORK IN PROGRESS/BIM/MODELS/DELEGATED DESIGN R24/STRC</t>
    </r>
  </si>
  <si>
    <r>
      <rPr>
        <rFont val="Calibri"/>
        <b/>
        <color rgb="FF1155CC"/>
        <sz val="11.0"/>
        <u/>
      </rPr>
      <t>CPQ11-STRC-CONC-SITE-R24.rvt</t>
    </r>
  </si>
  <si>
    <t>27.2 MB</t>
  </si>
  <si>
    <t>May 15, 2026 8:52 AM</t>
  </si>
  <si>
    <r>
      <rPr>
        <rFont val="Calibri"/>
        <b/>
        <color rgb="FF1155CC"/>
        <sz val="11.0"/>
        <u/>
      </rPr>
      <t>01-WORK IN PROGRESS/BIM/MODELS/DELEGATED DESIGN R24/STRC</t>
    </r>
  </si>
  <si>
    <r>
      <rPr>
        <rFont val="Calibri"/>
        <b/>
        <color rgb="FF1155CC"/>
        <sz val="11.0"/>
        <u/>
      </rPr>
      <t>CPQ11-STRC-DPFN-DATA-R24.rvt</t>
    </r>
  </si>
  <si>
    <r>
      <rPr>
        <rFont val="Calibri"/>
        <b/>
        <color rgb="FF1155CC"/>
        <sz val="11.0"/>
        <u/>
      </rPr>
      <t>01-WORK IN PROGRESS/BIM/MODELS/DELEGATED DESIGN R24/STRC</t>
    </r>
  </si>
  <si>
    <r>
      <rPr>
        <rFont val="Calibri"/>
        <b/>
        <color rgb="FF1155CC"/>
        <sz val="11.0"/>
        <u/>
      </rPr>
      <t>CPQ11-STRC-DPFN-SITE-R24.rvt</t>
    </r>
  </si>
  <si>
    <t>13.6 MB</t>
  </si>
  <si>
    <r>
      <rPr>
        <rFont val="Calibri"/>
        <b/>
        <color rgb="FF1155CC"/>
        <sz val="11.0"/>
        <u/>
      </rPr>
      <t>01-WORK IN PROGRESS/BIM/MODELS/DELEGATED DESIGN R24/STRC</t>
    </r>
  </si>
  <si>
    <r>
      <rPr>
        <rFont val="Calibri"/>
        <b/>
        <color rgb="FF1155CC"/>
        <sz val="11.0"/>
        <u/>
      </rPr>
      <t>CPQ11-STRC-FLOO-DATA-R24.rvt</t>
    </r>
  </si>
  <si>
    <t>122.5 MB</t>
  </si>
  <si>
    <r>
      <rPr>
        <rFont val="Calibri"/>
        <b/>
        <color rgb="FF1155CC"/>
        <sz val="11.0"/>
        <u/>
      </rPr>
      <t>01-WORK IN PROGRESS/BIM/MODELS/DELEGATED DESIGN R24/STRC</t>
    </r>
  </si>
  <si>
    <r>
      <rPr>
        <rFont val="Calibri"/>
        <b/>
        <color rgb="FF1155CC"/>
        <sz val="11.0"/>
        <u/>
      </rPr>
      <t>CPQ11-STRC-FLOO-SITE-R24.rvt</t>
    </r>
  </si>
  <si>
    <t>15.8 MB</t>
  </si>
  <si>
    <t>May 26, 2026 11:37 AM</t>
  </si>
  <si>
    <r>
      <rPr>
        <rFont val="Calibri"/>
        <b/>
        <color rgb="FF1155CC"/>
        <sz val="11.0"/>
        <u/>
      </rPr>
      <t>01-WORK IN PROGRESS/BIM/MODELS/DELEGATED DESIGN R24/STRC/NWC</t>
    </r>
  </si>
  <si>
    <r>
      <rPr>
        <rFont val="Calibri"/>
        <b/>
        <color rgb="FF1155CC"/>
        <sz val="11.0"/>
        <u/>
      </rPr>
      <t>CPQ11-STRC-CONC-DATA-R24.nwc</t>
    </r>
  </si>
  <si>
    <t>476 KB</t>
  </si>
  <si>
    <t>May 15, 2026 8:50 AM</t>
  </si>
  <si>
    <r>
      <rPr>
        <rFont val="Calibri"/>
        <b/>
        <color rgb="FF1155CC"/>
        <sz val="11.0"/>
        <u/>
      </rPr>
      <t>01-WORK IN PROGRESS/BIM/MODELS/DELEGATED DESIGN R24/STRC/NWC</t>
    </r>
  </si>
  <si>
    <r>
      <rPr>
        <rFont val="Calibri"/>
        <b/>
        <color rgb="FF1155CC"/>
        <sz val="11.0"/>
        <u/>
      </rPr>
      <t>CPQ11-STRC-CONC-SITE-R24.nwc</t>
    </r>
  </si>
  <si>
    <t>598.6 KB</t>
  </si>
  <si>
    <r>
      <rPr>
        <rFont val="Calibri"/>
        <b/>
        <color rgb="FF1155CC"/>
        <sz val="11.0"/>
        <u/>
      </rPr>
      <t>01-WORK IN PROGRESS/BIM/MODELS/DELEGATED DESIGN R24/STRC/NWC</t>
    </r>
  </si>
  <si>
    <r>
      <rPr>
        <rFont val="Calibri"/>
        <b/>
        <color rgb="FF1155CC"/>
        <sz val="11.0"/>
        <u/>
      </rPr>
      <t>CPQ11-STRC-DPFN-DATA-R24.nwc</t>
    </r>
  </si>
  <si>
    <t>259.5 KB</t>
  </si>
  <si>
    <r>
      <rPr>
        <rFont val="Calibri"/>
        <b/>
        <color rgb="FF1155CC"/>
        <sz val="11.0"/>
        <u/>
      </rPr>
      <t>01-WORK IN PROGRESS/BIM/MODELS/DELEGATED DESIGN R24/STRC/NWC</t>
    </r>
  </si>
  <si>
    <r>
      <rPr>
        <rFont val="Calibri"/>
        <b/>
        <color rgb="FF1155CC"/>
        <sz val="11.0"/>
        <u/>
      </rPr>
      <t>CPQ11-STRC-DPFN-SITE-R24.nwc</t>
    </r>
  </si>
  <si>
    <r>
      <rPr>
        <rFont val="Calibri"/>
        <b/>
        <color rgb="FF1155CC"/>
        <sz val="11.0"/>
        <u/>
      </rPr>
      <t>01-WORK IN PROGRESS/BIM/MODELS/DELEGATED DESIGN R24/STRC/NWC</t>
    </r>
  </si>
  <si>
    <r>
      <rPr>
        <rFont val="Calibri"/>
        <b/>
        <color rgb="FF1155CC"/>
        <sz val="11.0"/>
        <u/>
      </rPr>
      <t>CPQ11-STRC-FLOO-DATA-R24.nwc</t>
    </r>
  </si>
  <si>
    <t>203.3 MB</t>
  </si>
  <si>
    <r>
      <rPr>
        <rFont val="Calibri"/>
        <b/>
        <color rgb="FF1155CC"/>
        <sz val="11.0"/>
        <u/>
      </rPr>
      <t>01-WORK IN PROGRESS/BIM/MODELS/DELEGATED DESIGN R24/STRC/NWC</t>
    </r>
  </si>
  <si>
    <r>
      <rPr>
        <rFont val="Calibri"/>
        <b/>
        <color rgb="FF1155CC"/>
        <sz val="11.0"/>
        <u/>
      </rPr>
      <t>CPQ11-STRC-FLOO-SITE-R24.nwc</t>
    </r>
  </si>
  <si>
    <t>10.2 MB</t>
  </si>
  <si>
    <t>May 26, 2026 11:36 AM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</si>
  <si>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</si>
  <si>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CPQ11-ARCH-ARCH-DATA-R22.nwc</t>
    </r>
  </si>
  <si>
    <t>7.1 MB</t>
  </si>
  <si>
    <t>Apr 10, 2026 4:49 PM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</si>
  <si>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</si>
  <si>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CPQ11-ARCH-ARCH-SITE-R22.nwc</t>
    </r>
  </si>
  <si>
    <t>V28</t>
  </si>
  <si>
    <t>1.8 MB</t>
  </si>
  <si>
    <t>Apr 17, 2026 4:45 PM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</si>
  <si>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</si>
  <si>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CPQ11-ARCH-BLPR-GUAR-R22.nwc</t>
    </r>
  </si>
  <si>
    <t>Dec 4, 2025 6:42 AM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</si>
  <si>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</si>
  <si>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CPQ11-ARCH-CEIL-DATA-R22.nwc</t>
    </r>
  </si>
  <si>
    <t>5.3 MB</t>
  </si>
  <si>
    <t>Apr 29, 2026 6:51 AM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</si>
  <si>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</si>
  <si>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CPQ11-ARCH-CEIL-SITE-R22.nwc</t>
    </r>
  </si>
  <si>
    <t>21.9 KB</t>
  </si>
  <si>
    <t>Apr 29, 2026 6:50 AM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</si>
  <si>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</si>
  <si>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CPQ11-ARCH-CHAI-SITE-R22.nwc</t>
    </r>
  </si>
  <si>
    <t>Apr 6, 2026 10:43 AM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</si>
  <si>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</si>
  <si>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CPQ11-ARCH-FACD-DATA-R22.nwc</t>
    </r>
  </si>
  <si>
    <t>V22</t>
  </si>
  <si>
    <t>120.2 MB</t>
  </si>
  <si>
    <t>Apr 10, 2026 5:50 PM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</si>
  <si>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</si>
  <si>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CPQ11-ARCH-HM90-DATA-R22.nwc</t>
    </r>
  </si>
  <si>
    <t>305.7 KB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</si>
  <si>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</si>
  <si>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CPQ11-ARCH-HMET-DATA-R22.nwc</t>
    </r>
  </si>
  <si>
    <t>Apr 8, 2026 8:02 AM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</si>
  <si>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</si>
  <si>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CPQ11-ARCH-HMET-SITE-R22.nwc</t>
    </r>
  </si>
  <si>
    <t>Apr 10, 2026 8:25 AM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</si>
  <si>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</si>
  <si>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CPQ11-ARCH-METL-SITE-R22.nwc</t>
    </r>
  </si>
  <si>
    <t>162.6 MB</t>
  </si>
  <si>
    <t>May 5, 2026 10:51 AM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</si>
  <si>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</si>
  <si>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CPQ11-ARCH-OHCD-DATA-R22.nwc</t>
    </r>
  </si>
  <si>
    <t>229.3 KB</t>
  </si>
  <si>
    <t>Apr 10, 2026 9:03 AM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</si>
  <si>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</si>
  <si>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CPQ11-ARCH-PART-C12A-R22.nwc</t>
    </r>
  </si>
  <si>
    <t>5.2 MB</t>
  </si>
  <si>
    <t>Apr 7, 2026 10:09 PM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</si>
  <si>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</si>
  <si>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CPQ11-ARCH-PART-C345-R22.nwc</t>
    </r>
  </si>
  <si>
    <t>3.6 MB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</si>
  <si>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</si>
  <si>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CPQ11-ARCH-PART-SITE-R22.nwc</t>
    </r>
  </si>
  <si>
    <t>666.8 KB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</si>
  <si>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</si>
  <si>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CPQ11-ARCH-ROOF-DATA-R22.nwc</t>
    </r>
  </si>
  <si>
    <t>V26</t>
  </si>
  <si>
    <t>13.1 MB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</si>
  <si>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</si>
  <si>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CPQ11-ARCH-SHLV-DATA-R22.nwc</t>
    </r>
  </si>
  <si>
    <t>47.4 MB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</si>
  <si>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</si>
  <si>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CPQ11-ARCH-STON-SITE-R22.nwc</t>
    </r>
  </si>
  <si>
    <t>390.9 KB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</si>
  <si>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</si>
  <si>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CPQ11-ARCH-STON-SITE-R23.nwc</t>
    </r>
  </si>
  <si>
    <t>5.1 KB</t>
  </si>
  <si>
    <t>May 11, 2026 12:36 PM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</si>
  <si>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</si>
  <si>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CPQ11-ARCH-WMES-DATA-R22.nwc</t>
    </r>
  </si>
  <si>
    <t>113.4 KB</t>
  </si>
  <si>
    <r>
      <rPr>
        <rFont val="Calibri"/>
        <b/>
        <color rgb="FF1155CC"/>
        <sz val="11.0"/>
        <u/>
      </rPr>
      <t>01-WORK IN PROGRESS/BIM/MODELS/DELEGATED DESIGN R22/ARCH/OBSOLET</t>
    </r>
  </si>
  <si>
    <r>
      <rPr>
        <rFont val="Calibri"/>
        <b/>
        <color rgb="FF1155CC"/>
        <sz val="11.0"/>
        <u/>
      </rPr>
      <t>CPQ11-ARCH-ARCH-DATA-R22.nwd</t>
    </r>
  </si>
  <si>
    <t>Feb 4, 2025 2:38 PM</t>
  </si>
  <si>
    <r>
      <rPr>
        <rFont val="Calibri"/>
        <b/>
        <color rgb="FF1155CC"/>
        <sz val="11.0"/>
        <u/>
      </rPr>
      <t>01-WORK IN PROGRESS/BIM/MODELS/DELEGATED DESIGN R22/ARCH/OBSOLET</t>
    </r>
  </si>
  <si>
    <r>
      <rPr>
        <rFont val="Calibri"/>
        <b/>
        <color rgb="FF1155CC"/>
        <sz val="11.0"/>
        <u/>
      </rPr>
      <t>CPQ11-ARCH-ARCH-SITE-R22.nwd</t>
    </r>
  </si>
  <si>
    <t>142.2 MB</t>
  </si>
  <si>
    <r>
      <rPr>
        <rFont val="Calibri"/>
        <b/>
        <color rgb="FF1155CC"/>
        <sz val="11.0"/>
        <u/>
      </rPr>
      <t>01-WORK IN PROGRESS/BIM/MODELS/DELEGATED DESIGN R22/ARCH/OBSOLET</t>
    </r>
  </si>
  <si>
    <r>
      <rPr>
        <rFont val="Calibri"/>
        <b/>
        <color rgb="FF1155CC"/>
        <sz val="11.0"/>
        <u/>
      </rPr>
      <t>CPQ11-ARCH-PART-CL030405-R22.rvt</t>
    </r>
  </si>
  <si>
    <t>Revit 2022</t>
  </si>
  <si>
    <t>88.3 MB</t>
  </si>
  <si>
    <t>Feb 4, 2025 10:40 AM</t>
  </si>
  <si>
    <r>
      <rPr>
        <rFont val="Calibri"/>
        <b/>
        <color rgb="FF1155CC"/>
        <sz val="11.0"/>
        <u/>
      </rPr>
      <t>01-WORK IN PROGRESS/BIM/MODELS/DELEGATED DESIGN R22/ARCH/OBSOLET</t>
    </r>
  </si>
  <si>
    <r>
      <rPr>
        <rFont val="Calibri"/>
        <b/>
        <color rgb="FF1155CC"/>
        <sz val="11.0"/>
        <u/>
      </rPr>
      <t>CPQ11-ARCH-PART-CORE-R22.rvt</t>
    </r>
  </si>
  <si>
    <t>267.6 MB</t>
  </si>
  <si>
    <r>
      <rPr>
        <rFont val="Calibri"/>
        <b/>
        <color rgb="FF1155CC"/>
        <sz val="11.0"/>
        <u/>
      </rPr>
      <t>01-WORK IN PROGRESS/BIM/MODELS/DELEGATED DESIGN R22/ARCH/OBSOLET</t>
    </r>
  </si>
  <si>
    <r>
      <rPr>
        <rFont val="Calibri"/>
        <b/>
        <color rgb="FF1155CC"/>
        <sz val="11.0"/>
        <u/>
      </rPr>
      <t>CPQ11-ARCH-R23.rvt</t>
    </r>
  </si>
  <si>
    <t>253.6 MB</t>
  </si>
  <si>
    <t>Feb 4, 2025 10:41 AM</t>
  </si>
  <si>
    <r>
      <rPr>
        <rFont val="Calibri"/>
        <b/>
        <color rgb="FF1155CC"/>
        <sz val="11.0"/>
        <u/>
      </rPr>
      <t>01-WORK IN PROGRESS/BIM/MODELS/DELEGATED DESIGN R22/ARCH/OBSOLET</t>
    </r>
  </si>
  <si>
    <r>
      <rPr>
        <rFont val="Calibri"/>
        <b/>
        <color rgb="FF1155CC"/>
        <sz val="11.0"/>
        <u/>
      </rPr>
      <t>CPQ11-ARCH-ROOF-CORE-R22.nwc</t>
    </r>
  </si>
  <si>
    <t>13 MB</t>
  </si>
  <si>
    <t>Feb 4, 2025 10:39 AM</t>
  </si>
  <si>
    <r>
      <rPr>
        <rFont val="Calibri"/>
        <b/>
        <color rgb="FF1155CC"/>
        <sz val="11.0"/>
        <u/>
      </rPr>
      <t>01-WORK IN PROGRESS/BIM/MODELS/DELEGATED DESIGN R22/ARCH/OBSOLET</t>
    </r>
  </si>
  <si>
    <r>
      <rPr>
        <rFont val="Calibri"/>
        <b/>
        <color rgb="FF1155CC"/>
        <sz val="11.0"/>
        <u/>
      </rPr>
      <t>CPQ11-ARCH-ROOF-CORE-R22.rvt</t>
    </r>
  </si>
  <si>
    <t>19.3 MB</t>
  </si>
  <si>
    <r>
      <rPr>
        <rFont val="Calibri"/>
        <b/>
        <color rgb="FF1155CC"/>
        <sz val="11.0"/>
        <u/>
      </rPr>
      <t>01-WORK IN PROGRESS/BIM/MODELS/DELEGATED DESIGN R22/ARCH/OBSOLET</t>
    </r>
  </si>
  <si>
    <r>
      <rPr>
        <rFont val="Calibri"/>
        <b/>
        <color rgb="FF1155CC"/>
        <sz val="11.0"/>
        <u/>
      </rPr>
      <t>CPQ11-ARCH-SITE-R23.rvt</t>
    </r>
  </si>
  <si>
    <t>247 MB</t>
  </si>
  <si>
    <r>
      <rPr>
        <rFont val="Calibri"/>
        <b/>
        <color rgb="FF1155CC"/>
        <sz val="11.0"/>
        <u/>
      </rPr>
      <t>01-WORK IN PROGRESS/BIM/MODELS/DELEGATED DESIGN R22/ARCH/OBSOLET</t>
    </r>
  </si>
  <si>
    <r>
      <rPr>
        <rFont val="Calibri"/>
        <b/>
        <color rgb="FF1155CC"/>
        <sz val="11.0"/>
        <u/>
      </rPr>
      <t>CPQ11-RAC-ARCH-FACD-OMTR-R22.rvt</t>
    </r>
  </si>
  <si>
    <t>102.9 MB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</si>
  <si>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</si>
  <si>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CPQ11-ARCH-ARCH-DATA-R22.rvt</t>
    </r>
  </si>
  <si>
    <t>226.6 MB</t>
  </si>
  <si>
    <t>Apr 13, 2026 6:05 PM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</si>
  <si>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</si>
  <si>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CPQ11-ARCH-ARCH-SITE-R22.rvt</t>
    </r>
  </si>
  <si>
    <t>74.1 MB</t>
  </si>
  <si>
    <t>Apr 17, 2026 4:46 PM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</si>
  <si>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</si>
  <si>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CPQ11-ARCH-BLPR-GUAR-R22.rvt</t>
    </r>
  </si>
  <si>
    <t>38.2 MB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</si>
  <si>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</si>
  <si>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CPQ11-ARCH-CEIL-DATA-R22.rvt</t>
    </r>
  </si>
  <si>
    <t>168.5 MB</t>
  </si>
  <si>
    <t>Apr 29, 2026 7:10 AM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</si>
  <si>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</si>
  <si>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CPQ11-ARCH-CEIL-SITE-R22.rvt</t>
    </r>
  </si>
  <si>
    <t>Apr 29, 2026 6:54 AM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</si>
  <si>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</si>
  <si>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CPQ11-ARCH-CHAI-SITE-R22.rvt</t>
    </r>
  </si>
  <si>
    <t>9.9 MB</t>
  </si>
  <si>
    <t>Apr 6, 2026 10:44 AM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</si>
  <si>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</si>
  <si>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CPQ11-ARCH-FACD-DATA-R22.rvt</t>
    </r>
  </si>
  <si>
    <t>128.4 MB</t>
  </si>
  <si>
    <t>May 6, 2026 5:41 PM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</si>
  <si>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</si>
  <si>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CPQ11-ARCH-HM90-DATA-R22.rvt</t>
    </r>
  </si>
  <si>
    <t>25 MB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</si>
  <si>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</si>
  <si>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CPQ11-ARCH-HMET-DATA-R22.rvt</t>
    </r>
  </si>
  <si>
    <t>3 unresolved issues</t>
  </si>
  <si>
    <t>72.6 MB</t>
  </si>
  <si>
    <t>Apr 8, 2026 8:06 AM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</si>
  <si>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</si>
  <si>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CPQ11-ARCH-HMET-SITE-R22.rvt</t>
    </r>
  </si>
  <si>
    <t>25.2 MB</t>
  </si>
  <si>
    <t>Apr 10, 2026 8:28 AM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</si>
  <si>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</si>
  <si>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CPQ11-ARCH-METL-SITE-R22.rvt</t>
    </r>
  </si>
  <si>
    <t>35.6 MB</t>
  </si>
  <si>
    <t>May 5, 2026 11:11 AM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</si>
  <si>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</si>
  <si>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CPQ11-ARCH-OHCD-DATA-R22.rvt</t>
    </r>
  </si>
  <si>
    <t>11 MB</t>
  </si>
  <si>
    <t>Apr 10, 2026 8:59 AM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</si>
  <si>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</si>
  <si>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CPQ11-ARCH-PART-C12A-R22.rvt</t>
    </r>
  </si>
  <si>
    <t>112.4 MB</t>
  </si>
  <si>
    <t>Apr 7, 2026 10:17 PM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</si>
  <si>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</si>
  <si>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CPQ11-ARCH-PART-C345-R22.rvt</t>
    </r>
  </si>
  <si>
    <t>105.8 MB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</si>
  <si>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</si>
  <si>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CPQ11-ARCH-PART-SITE-R22.rvt</t>
    </r>
  </si>
  <si>
    <t>24.9 MB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</si>
  <si>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</si>
  <si>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CPQ11-ARCH-ROOF-DATA-R22.rvt</t>
    </r>
  </si>
  <si>
    <t>V30</t>
  </si>
  <si>
    <t>20.9 MB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</si>
  <si>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</si>
  <si>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CPQ11-ARCH-SHLV-DATA-R22.rvt</t>
    </r>
  </si>
  <si>
    <t>Feb 28, 2026 8:25 PM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</si>
  <si>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</si>
  <si>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CPQ11-ARCH-STON-SITE-R23.ifc</t>
    </r>
  </si>
  <si>
    <t>3.3 MB</t>
  </si>
  <si>
    <t>May 11, 2026 12:33 PM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</si>
  <si>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</si>
  <si>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CPQ11-ARCH-STON-SITE-R23.rvt</t>
    </r>
  </si>
  <si>
    <t>Revit 2023</t>
  </si>
  <si>
    <t>9.7 MB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</si>
  <si>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</si>
  <si>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CPQ11-ARCH-WMES-DATA-R22.rvt</t>
    </r>
  </si>
  <si>
    <t>V13</t>
  </si>
  <si>
    <t>14.9 MB</t>
  </si>
  <si>
    <r>
      <rPr>
        <rFont val="Calibri"/>
        <b/>
        <color rgb="FF1155CC"/>
        <sz val="11.0"/>
        <u/>
      </rPr>
      <t>01-WORK IN PROGRESS/BIM/MODELS/DELEGATED DESIGN R22/CIVIL/NWC</t>
    </r>
  </si>
  <si>
    <r>
      <rPr>
        <rFont val="Calibri"/>
        <b/>
        <color rgb="FF1155CC"/>
        <sz val="11.0"/>
        <u/>
      </rPr>
      <t>CPQ11-CIVL-DRNG-SITE-R22.nwc</t>
    </r>
  </si>
  <si>
    <t>V16</t>
  </si>
  <si>
    <t>12 MB</t>
  </si>
  <si>
    <t>May 6, 2026 8:32 AM</t>
  </si>
  <si>
    <r>
      <rPr>
        <rFont val="Calibri"/>
        <b/>
        <color rgb="FF1155CC"/>
        <sz val="11.0"/>
        <u/>
      </rPr>
      <t>01-WORK IN PROGRESS/BIM/MODELS/DELEGATED DESIGN R22/CIVIL/NWC</t>
    </r>
  </si>
  <si>
    <r>
      <rPr>
        <rFont val="Calibri"/>
        <b/>
        <color rgb="FF1155CC"/>
        <sz val="11.0"/>
        <u/>
      </rPr>
      <t>CPQ11-CIVL-ERTH-SITE-R22.nwc</t>
    </r>
  </si>
  <si>
    <t>1.4 MB</t>
  </si>
  <si>
    <t>Apr 8, 2026 1:22 PM</t>
  </si>
  <si>
    <r>
      <rPr>
        <rFont val="Calibri"/>
        <b/>
        <color rgb="FF1155CC"/>
        <sz val="11.0"/>
        <u/>
      </rPr>
      <t>01-WORK IN PROGRESS/BIM/MODELS/DELEGATED DESIGN R22/CIVIL/NWC</t>
    </r>
  </si>
  <si>
    <r>
      <rPr>
        <rFont val="Calibri"/>
        <b/>
        <color rgb="FF1155CC"/>
        <sz val="11.0"/>
        <u/>
      </rPr>
      <t>CPQ11-CIVL-LOCK-SITE-R22.nwc</t>
    </r>
  </si>
  <si>
    <t>188.4 MB</t>
  </si>
  <si>
    <r>
      <rPr>
        <rFont val="Calibri"/>
        <b/>
        <color rgb="FF1155CC"/>
        <sz val="11.0"/>
        <u/>
      </rPr>
      <t>01-WORK IN PROGRESS/BIM/MODELS/DELEGATED DESIGN R22/CIVIL/NWC</t>
    </r>
  </si>
  <si>
    <r>
      <rPr>
        <rFont val="Calibri"/>
        <b/>
        <color rgb="FF1155CC"/>
        <sz val="11.0"/>
        <u/>
      </rPr>
      <t>CPQ11-CIVL-PAVM-SITE-R22.nwc</t>
    </r>
  </si>
  <si>
    <t>14.4 MB</t>
  </si>
  <si>
    <t>Apr 30, 2026 9:16 AM</t>
  </si>
  <si>
    <r>
      <rPr>
        <rFont val="Calibri"/>
        <b/>
        <color rgb="FF1155CC"/>
        <sz val="11.0"/>
        <u/>
      </rPr>
      <t>01-WORK IN PROGRESS/BIM/MODELS/DELEGATED DESIGN R22/CIVIL</t>
    </r>
  </si>
  <si>
    <r>
      <rPr>
        <rFont val="Calibri"/>
        <b/>
        <color rgb="FF1155CC"/>
        <sz val="11.0"/>
        <u/>
      </rPr>
      <t>CPQ11-CIVL-DRNG-SITE-R22.rvt</t>
    </r>
  </si>
  <si>
    <t>82.7 MB</t>
  </si>
  <si>
    <t>May 6, 2026 8:34 AM</t>
  </si>
  <si>
    <r>
      <rPr>
        <rFont val="Calibri"/>
        <b/>
        <color rgb="FF1155CC"/>
        <sz val="11.0"/>
        <u/>
      </rPr>
      <t>01-WORK IN PROGRESS/BIM/MODELS/DELEGATED DESIGN R22/CIVIL</t>
    </r>
  </si>
  <si>
    <r>
      <rPr>
        <rFont val="Calibri"/>
        <b/>
        <color rgb="FF1155CC"/>
        <sz val="11.0"/>
        <u/>
      </rPr>
      <t>CPQ11-CIVL-ERTH-SITE-R22.rvt</t>
    </r>
  </si>
  <si>
    <t>17.4 MB</t>
  </si>
  <si>
    <t>Apr 8, 2026 1:25 PM</t>
  </si>
  <si>
    <r>
      <rPr>
        <rFont val="Calibri"/>
        <b/>
        <color rgb="FF1155CC"/>
        <sz val="11.0"/>
        <u/>
      </rPr>
      <t>01-WORK IN PROGRESS/BIM/MODELS/DELEGATED DESIGN R22/CIVIL</t>
    </r>
  </si>
  <si>
    <r>
      <rPr>
        <rFont val="Calibri"/>
        <b/>
        <color rgb="FF1155CC"/>
        <sz val="11.0"/>
        <u/>
      </rPr>
      <t>CPQ11-CIVL-LOCK-SITE-R22.rvt</t>
    </r>
  </si>
  <si>
    <t>327.2 MB</t>
  </si>
  <si>
    <r>
      <rPr>
        <rFont val="Calibri"/>
        <b/>
        <color rgb="FF1155CC"/>
        <sz val="11.0"/>
        <u/>
      </rPr>
      <t>01-WORK IN PROGRESS/BIM/MODELS/DELEGATED DESIGN R22/CIVIL</t>
    </r>
  </si>
  <si>
    <r>
      <rPr>
        <rFont val="Calibri"/>
        <b/>
        <color rgb="FF1155CC"/>
        <sz val="11.0"/>
        <u/>
      </rPr>
      <t>CPQ11-CIVL-PAVM-SITE-R22.rvt</t>
    </r>
  </si>
  <si>
    <t>49.5 MB</t>
  </si>
  <si>
    <r>
      <rPr>
        <rFont val="Calibri"/>
        <b/>
        <color rgb="FF1155CC"/>
        <sz val="11.0"/>
        <u/>
      </rPr>
      <t>01-WORK IN PROGRESS/BIM/MODELS/DELEGATED DESIGN R22/MECH/NWC</t>
    </r>
  </si>
  <si>
    <r>
      <rPr>
        <rFont val="Calibri"/>
        <b/>
        <color rgb="FF1155CC"/>
        <sz val="11.0"/>
        <u/>
      </rPr>
      <t>CPQ11-MECH-MECH-DATA-R22.nwc</t>
    </r>
  </si>
  <si>
    <t>V50</t>
  </si>
  <si>
    <t>28.5 MB</t>
  </si>
  <si>
    <t>Apr 17, 2026 3:28 PM</t>
  </si>
  <si>
    <r>
      <rPr>
        <rFont val="Calibri"/>
        <b/>
        <color rgb="FF1155CC"/>
        <sz val="11.0"/>
        <u/>
      </rPr>
      <t>01-WORK IN PROGRESS/BIM/MODELS/DELEGATED DESIGN R22/MECH/NWC</t>
    </r>
  </si>
  <si>
    <r>
      <rPr>
        <rFont val="Calibri"/>
        <b/>
        <color rgb="FF1155CC"/>
        <sz val="11.0"/>
        <u/>
      </rPr>
      <t>CPQ11-MECH-MECH-GUAR-R22.nwc</t>
    </r>
  </si>
  <si>
    <t>1.2 MB</t>
  </si>
  <si>
    <t>Apr 16, 2026 9:16 AM</t>
  </si>
  <si>
    <r>
      <rPr>
        <rFont val="Calibri"/>
        <b/>
        <color rgb="FF1155CC"/>
        <sz val="11.0"/>
        <u/>
      </rPr>
      <t>01-WORK IN PROGRESS/BIM/MODELS/DELEGATED DESIGN R22/MECH/NWC</t>
    </r>
  </si>
  <si>
    <r>
      <rPr>
        <rFont val="Calibri"/>
        <b/>
        <color rgb="FF1155CC"/>
        <sz val="11.0"/>
        <u/>
      </rPr>
      <t>CPQ11-PLMB-METK-UTLS-R22.nwc</t>
    </r>
  </si>
  <si>
    <t>Feb 26, 2026 5:40 PM</t>
  </si>
  <si>
    <r>
      <rPr>
        <rFont val="Calibri"/>
        <b/>
        <color rgb="FF1155CC"/>
        <sz val="11.0"/>
        <u/>
      </rPr>
      <t>01-WORK IN PROGRESS/BIM/MODELS/DELEGATED DESIGN R22/MECH/NWC</t>
    </r>
  </si>
  <si>
    <r>
      <rPr>
        <rFont val="Calibri"/>
        <b/>
        <color rgb="FF1155CC"/>
        <sz val="11.0"/>
        <u/>
      </rPr>
      <t>CPQ11-PLMB-NPWT-DATA-R22.nwc</t>
    </r>
  </si>
  <si>
    <t>V35</t>
  </si>
  <si>
    <t>12.9 MB</t>
  </si>
  <si>
    <t>Apr 30, 2026 5:21 PM</t>
  </si>
  <si>
    <r>
      <rPr>
        <rFont val="Calibri"/>
        <b/>
        <color rgb="FF1155CC"/>
        <sz val="11.0"/>
        <u/>
      </rPr>
      <t>01-WORK IN PROGRESS/BIM/MODELS/DELEGATED DESIGN R22/MECH/NWC</t>
    </r>
  </si>
  <si>
    <r>
      <rPr>
        <rFont val="Calibri"/>
        <b/>
        <color rgb="FF1155CC"/>
        <sz val="11.0"/>
        <u/>
      </rPr>
      <t>CPQ11-PLMB-NPWT-SITE-R22.nwc</t>
    </r>
  </si>
  <si>
    <t>V41</t>
  </si>
  <si>
    <t>Apr 24, 2026 2:44 PM</t>
  </si>
  <si>
    <r>
      <rPr>
        <rFont val="Calibri"/>
        <b/>
        <color rgb="FF1155CC"/>
        <sz val="11.0"/>
        <u/>
      </rPr>
      <t>01-WORK IN PROGRESS/BIM/MODELS/DELEGATED DESIGN R22/MECH/OBSOLET</t>
    </r>
  </si>
  <si>
    <r>
      <rPr>
        <rFont val="Calibri"/>
        <b/>
        <color rgb="FF1155CC"/>
        <sz val="11.0"/>
        <u/>
      </rPr>
      <t>CPQ11-MECH-GENL-R22.nwc</t>
    </r>
  </si>
  <si>
    <t>Dec 17, 2024 6:31 PM</t>
  </si>
  <si>
    <r>
      <rPr>
        <rFont val="Calibri"/>
        <b/>
        <color rgb="FF1155CC"/>
        <sz val="11.0"/>
        <u/>
      </rPr>
      <t>01-WORK IN PROGRESS/BIM/MODELS/DELEGATED DESIGN R22/MECH/OBSOLET</t>
    </r>
  </si>
  <si>
    <r>
      <rPr>
        <rFont val="Calibri"/>
        <b/>
        <color rgb="FF1155CC"/>
        <sz val="11.0"/>
        <u/>
      </rPr>
      <t>CPQ11-MECH-GENL-R22.rvt</t>
    </r>
  </si>
  <si>
    <t>135.5 MB</t>
  </si>
  <si>
    <r>
      <rPr>
        <rFont val="Calibri"/>
        <b/>
        <color rgb="FF1155CC"/>
        <sz val="11.0"/>
        <u/>
      </rPr>
      <t>01-WORK IN PROGRESS/BIM/MODELS/DELEGATED DESIGN R22/MECH/OBSOLET</t>
    </r>
  </si>
  <si>
    <r>
      <rPr>
        <rFont val="Calibri"/>
        <b/>
        <color rgb="FF1155CC"/>
        <sz val="11.0"/>
        <u/>
      </rPr>
      <t>CPQ11-MECH-MECH-DATA-R22.nwc</t>
    </r>
  </si>
  <si>
    <t>30.5 MB</t>
  </si>
  <si>
    <t>Apr 16, 2025 6:20 PM</t>
  </si>
  <si>
    <r>
      <rPr>
        <rFont val="Calibri"/>
        <b/>
        <color rgb="FF1155CC"/>
        <sz val="11.0"/>
        <u/>
      </rPr>
      <t>01-WORK IN PROGRESS/BIM/MODELS/DELEGATED DESIGN R22/MECH/OBSOLET</t>
    </r>
  </si>
  <si>
    <r>
      <rPr>
        <rFont val="Calibri"/>
        <b/>
        <color rgb="FF1155CC"/>
        <sz val="11.0"/>
        <u/>
      </rPr>
      <t>CPQ11-MECH-MECH-GUAR-R22.nwc</t>
    </r>
  </si>
  <si>
    <t>Apr 16, 2025 6:17 PM</t>
  </si>
  <si>
    <r>
      <rPr>
        <rFont val="Calibri"/>
        <b/>
        <color rgb="FF1155CC"/>
        <sz val="11.0"/>
        <u/>
      </rPr>
      <t>01-WORK IN PROGRESS/BIM/MODELS/DELEGATED DESIGN R22/MECH/OBSOLET</t>
    </r>
  </si>
  <si>
    <r>
      <rPr>
        <rFont val="Calibri"/>
        <b/>
        <color rgb="FF1155CC"/>
        <sz val="11.0"/>
        <u/>
      </rPr>
      <t>CPQ11-PLMB-GENL-R22.nwc</t>
    </r>
  </si>
  <si>
    <t>6.1 MB</t>
  </si>
  <si>
    <t>Dec 19, 2024 10:08 AM</t>
  </si>
  <si>
    <r>
      <rPr>
        <rFont val="Calibri"/>
        <b/>
        <color rgb="FF1155CC"/>
        <sz val="11.0"/>
        <u/>
      </rPr>
      <t>01-WORK IN PROGRESS/BIM/MODELS/DELEGATED DESIGN R22/MECH/OBSOLET</t>
    </r>
  </si>
  <si>
    <r>
      <rPr>
        <rFont val="Calibri"/>
        <b/>
        <color rgb="FF1155CC"/>
        <sz val="11.0"/>
        <u/>
      </rPr>
      <t>CPQ11-PLMB-GENL-R22.rvt</t>
    </r>
  </si>
  <si>
    <t>105.6 MB</t>
  </si>
  <si>
    <t>Dec 19, 2024 10:07 AM</t>
  </si>
  <si>
    <r>
      <rPr>
        <rFont val="Calibri"/>
        <b/>
        <color rgb="FF1155CC"/>
        <sz val="11.0"/>
        <u/>
      </rPr>
      <t>01-WORK IN PROGRESS/BIM/MODELS/DELEGATED DESIGN R22/MECH/OBSOLET</t>
    </r>
  </si>
  <si>
    <r>
      <rPr>
        <rFont val="Calibri"/>
        <b/>
        <color rgb="FF1155CC"/>
        <sz val="11.0"/>
        <u/>
      </rPr>
      <t>CPQ11-PLMB-METK-UTLS-R22.nwc</t>
    </r>
  </si>
  <si>
    <r>
      <rPr>
        <rFont val="Calibri"/>
        <b/>
        <color rgb="FF1155CC"/>
        <sz val="11.0"/>
        <u/>
      </rPr>
      <t>01-WORK IN PROGRESS/BIM/MODELS/DELEGATED DESIGN R22/MECH/OBSOLET</t>
    </r>
  </si>
  <si>
    <r>
      <rPr>
        <rFont val="Calibri"/>
        <b/>
        <color rgb="FF1155CC"/>
        <sz val="11.0"/>
        <u/>
      </rPr>
      <t>CPQ11-PLMB-NPWT-DATA-R22.nwc</t>
    </r>
  </si>
  <si>
    <t>10.8 MB</t>
  </si>
  <si>
    <r>
      <rPr>
        <rFont val="Calibri"/>
        <b/>
        <color rgb="FF1155CC"/>
        <sz val="11.0"/>
        <u/>
      </rPr>
      <t>01-WORK IN PROGRESS/BIM/MODELS/DELEGATED DESIGN R22/MECH/OBSOLET</t>
    </r>
  </si>
  <si>
    <r>
      <rPr>
        <rFont val="Calibri"/>
        <b/>
        <color rgb="FF1155CC"/>
        <sz val="11.0"/>
        <u/>
      </rPr>
      <t>CPQ11-PLMB-NPWT-SITE-R22.nwc</t>
    </r>
  </si>
  <si>
    <r>
      <rPr>
        <rFont val="Calibri"/>
        <b/>
        <color rgb="FF1155CC"/>
        <sz val="11.0"/>
        <u/>
      </rPr>
      <t>01-WORK IN PROGRESS/BIM/MODELS/DELEGATED DESIGN R22/MECH/OBSOLET</t>
    </r>
  </si>
  <si>
    <r>
      <rPr>
        <rFont val="Calibri"/>
        <b/>
        <color rgb="FF1155CC"/>
        <sz val="11.0"/>
        <u/>
      </rPr>
      <t>CPQ11-PLMB-SITE-R22.nwc</t>
    </r>
  </si>
  <si>
    <t>Dec 18, 2024 10:34 AM</t>
  </si>
  <si>
    <r>
      <rPr>
        <rFont val="Calibri"/>
        <b/>
        <color rgb="FF1155CC"/>
        <sz val="11.0"/>
        <u/>
      </rPr>
      <t>01-WORK IN PROGRESS/BIM/MODELS/DELEGATED DESIGN R22/MECH/OBSOLET</t>
    </r>
  </si>
  <si>
    <r>
      <rPr>
        <rFont val="Calibri"/>
        <b/>
        <color rgb="FF1155CC"/>
        <sz val="11.0"/>
        <u/>
      </rPr>
      <t>CPQ11-PLMB-SITE-R22.rvt</t>
    </r>
  </si>
  <si>
    <t>100.7 MB</t>
  </si>
  <si>
    <r>
      <rPr>
        <rFont val="Calibri"/>
        <b/>
        <color rgb="FF1155CC"/>
        <sz val="11.0"/>
        <u/>
      </rPr>
      <t>01-WORK IN PROGRESS/BIM/MODELS/DELEGATED DESIGN R22/MECH</t>
    </r>
  </si>
  <si>
    <r>
      <rPr>
        <rFont val="Calibri"/>
        <b/>
        <color rgb="FF1155CC"/>
        <sz val="11.0"/>
        <u/>
      </rPr>
      <t>CPQ11-MECH-MECH-DATA-R22.rvt</t>
    </r>
  </si>
  <si>
    <t>V59</t>
  </si>
  <si>
    <t>168.9 MB</t>
  </si>
  <si>
    <t>Apr 17, 2026 3:44 PM</t>
  </si>
  <si>
    <r>
      <rPr>
        <rFont val="Calibri"/>
        <b/>
        <color rgb="FF1155CC"/>
        <sz val="11.0"/>
        <u/>
      </rPr>
      <t>01-WORK IN PROGRESS/BIM/MODELS/DELEGATED DESIGN R22/MECH</t>
    </r>
  </si>
  <si>
    <r>
      <rPr>
        <rFont val="Calibri"/>
        <b/>
        <color rgb="FF1155CC"/>
        <sz val="11.0"/>
        <u/>
      </rPr>
      <t>CPQ11-MECH-MECH-GUAR-R22.rvt</t>
    </r>
  </si>
  <si>
    <t>118.5 MB</t>
  </si>
  <si>
    <t>Apr 16, 2026 9:15 AM</t>
  </si>
  <si>
    <r>
      <rPr>
        <rFont val="Calibri"/>
        <b/>
        <color rgb="FF1155CC"/>
        <sz val="11.0"/>
        <u/>
      </rPr>
      <t>01-WORK IN PROGRESS/BIM/MODELS/DELEGATED DESIGN R22/MECH</t>
    </r>
  </si>
  <si>
    <r>
      <rPr>
        <rFont val="Calibri"/>
        <b/>
        <color rgb="FF1155CC"/>
        <sz val="11.0"/>
        <u/>
      </rPr>
      <t>CPQ11-PLMB-METK-UTLS-R22.rvt</t>
    </r>
  </si>
  <si>
    <t>60.5 MB</t>
  </si>
  <si>
    <t>Feb 26, 2026 5:41 PM</t>
  </si>
  <si>
    <r>
      <rPr>
        <rFont val="Calibri"/>
        <b/>
        <color rgb="FF1155CC"/>
        <sz val="11.0"/>
        <u/>
      </rPr>
      <t>01-WORK IN PROGRESS/BIM/MODELS/DELEGATED DESIGN R22/MECH</t>
    </r>
  </si>
  <si>
    <r>
      <rPr>
        <rFont val="Calibri"/>
        <b/>
        <color rgb="FF1155CC"/>
        <sz val="11.0"/>
        <u/>
      </rPr>
      <t>CPQ11-PLMB-NPWT-DATA-R22.rvt</t>
    </r>
  </si>
  <si>
    <t>V39</t>
  </si>
  <si>
    <t>157.3 MB</t>
  </si>
  <si>
    <t>Apr 30, 2026 5:57 PM</t>
  </si>
  <si>
    <r>
      <rPr>
        <rFont val="Calibri"/>
        <b/>
        <color rgb="FF1155CC"/>
        <sz val="11.0"/>
        <u/>
      </rPr>
      <t>01-WORK IN PROGRESS/BIM/MODELS/DELEGATED DESIGN R22/MECH</t>
    </r>
  </si>
  <si>
    <r>
      <rPr>
        <rFont val="Calibri"/>
        <b/>
        <color rgb="FF1155CC"/>
        <sz val="11.0"/>
        <u/>
      </rPr>
      <t>CPQ11-PLMB-NPWT-SITE-R22.rvt</t>
    </r>
  </si>
  <si>
    <t>123 MB</t>
  </si>
  <si>
    <t>Apr 24, 2026 2:45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</si>
  <si>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</si>
  <si>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CPQ11-BASM-DEVS-DATA-R22.nwc</t>
    </r>
  </si>
  <si>
    <t>May 5, 2026 4:01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</si>
  <si>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</si>
  <si>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CPQ11-BASM-DEVS-PUMP-R22.nwc</t>
    </r>
  </si>
  <si>
    <t>827.9 KB</t>
  </si>
  <si>
    <t>Feb 3, 2026 4:35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</si>
  <si>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</si>
  <si>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CPQ11-BASM-INFR-DATA-R22.nwc</t>
    </r>
  </si>
  <si>
    <t>41.6 MB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</si>
  <si>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</si>
  <si>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CPQ11-BASM-INFR-PUMP-R22.nwc</t>
    </r>
  </si>
  <si>
    <t>Apr 24, 2026 11:18 AM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</si>
  <si>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</si>
  <si>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CPQ11-DALI-DEVS-DATA-R22.nwc</t>
    </r>
  </si>
  <si>
    <t>Apr 15, 2026 5:53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</si>
  <si>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</si>
  <si>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CPQ11-DASM-DEVS-DATA-R22.nwc</t>
    </r>
  </si>
  <si>
    <t>Apr 27, 2026 6:14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</si>
  <si>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</si>
  <si>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CPQ11-ELEC-ELEC-DATA-R22.nwc</t>
    </r>
  </si>
  <si>
    <t>194.9 MB</t>
  </si>
  <si>
    <t>Apr 13, 2026 4:58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</si>
  <si>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</si>
  <si>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CPQ11-ELEC-ELEC-SITE-R22.nwc</t>
    </r>
  </si>
  <si>
    <t>168.4 MB</t>
  </si>
  <si>
    <t>Dec 23, 2025 12:43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</si>
  <si>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</si>
  <si>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CPQ11-ELEC-SPDA-DATA-R22.nwc</t>
    </r>
  </si>
  <si>
    <t>May 12, 2026 9:35 AM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</si>
  <si>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</si>
  <si>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CPQ11-ELEC-SPDA-SITE-R22.nwc</t>
    </r>
  </si>
  <si>
    <t>Dec 8, 2025 12:09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</si>
  <si>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</si>
  <si>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CPQ11-EPMS-DEVS-DATA-R22.nwc</t>
    </r>
  </si>
  <si>
    <t>84.4 KB</t>
  </si>
  <si>
    <t>Apr 27, 2026 10:44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</si>
  <si>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</si>
  <si>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CPQ11-EPMS-DEVS-SITE-R22.nwc</t>
    </r>
  </si>
  <si>
    <t>84.2 KB</t>
  </si>
  <si>
    <t>Feb 3, 2026 4:34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</si>
  <si>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</si>
  <si>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CPQ11-FALM-FALM-DATA-R22.nwc</t>
    </r>
  </si>
  <si>
    <t>45.6 MB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</si>
  <si>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</si>
  <si>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CPQ11-FALM-FALM-SITE-R22.nwc</t>
    </r>
  </si>
  <si>
    <t>7.2 MB</t>
  </si>
  <si>
    <t>May 8, 2026 8:49 AM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</si>
  <si>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</si>
  <si>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CPQ11-FPRT-FPRT-DATA-R22.nwc</t>
    </r>
  </si>
  <si>
    <t>119 MB</t>
  </si>
  <si>
    <t>May 14, 2026 10:42 AM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</si>
  <si>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</si>
  <si>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CPQ11-FPRT-FPRT-SITE-R22.nwc</t>
    </r>
  </si>
  <si>
    <t>19.7 MB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</si>
  <si>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</si>
  <si>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CPQ11-FPRT-METK-UTLS-R22.nwc</t>
    </r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</si>
  <si>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</si>
  <si>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CPQ11-PLMB-DIES-SITE-R22.nwc</t>
    </r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</si>
  <si>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</si>
  <si>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CPQ11-PLMB-PLMB-DATA-R22.nwc</t>
    </r>
  </si>
  <si>
    <t>31 MB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</si>
  <si>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</si>
  <si>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CPQ11-PLMB-PLMB-SITE-R22.nwc</t>
    </r>
  </si>
  <si>
    <t>34.2 MB</t>
  </si>
  <si>
    <t>Apr 8, 2026 10:56 AM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</si>
  <si>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</si>
  <si>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CPQ11-ROIP-DEVS-DATA-R22.nwc</t>
    </r>
  </si>
  <si>
    <t>V36</t>
  </si>
  <si>
    <t>May 8, 2026 3:07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</si>
  <si>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</si>
  <si>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CPQ11-ROIP-DEVS-GUAR-R22.nwc</t>
    </r>
  </si>
  <si>
    <t>May 13, 2026 3:04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</si>
  <si>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</si>
  <si>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CPQ11-SCTY-DEVS-DATA-R22.nwc</t>
    </r>
  </si>
  <si>
    <t>V45</t>
  </si>
  <si>
    <t>4.8 MB</t>
  </si>
  <si>
    <t>May 6, 2026 9:07 AM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</si>
  <si>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</si>
  <si>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CPQ11-SCTY-DEVS-SITE-R22.nwc</t>
    </r>
  </si>
  <si>
    <t>V38</t>
  </si>
  <si>
    <t>4.1 MB</t>
  </si>
  <si>
    <t>Apr 10, 2026 4:37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</si>
  <si>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</si>
  <si>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CPQ11-SCTY-GATE-SITE-R24.nwc</t>
    </r>
  </si>
  <si>
    <t>May 7, 2026 5:21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</si>
  <si>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</si>
  <si>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CPQ11-SCTY-INFR-DATA-R22.nwc</t>
    </r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</si>
  <si>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</si>
  <si>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CPQ11-SCTY-INFR-SITE-R22.nwc</t>
    </r>
  </si>
  <si>
    <t>883.5 KB</t>
  </si>
  <si>
    <t>May 5, 2026 10:22 AM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</si>
  <si>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</si>
  <si>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CPQ11-SYST-INFR-DATA-R22.nwc</t>
    </r>
  </si>
  <si>
    <t>63.5 MB</t>
  </si>
  <si>
    <t>Apr 10, 2026 4:17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</si>
  <si>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</si>
  <si>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CPQ11-SYST-INFR-SITE-R22.nwc</t>
    </r>
  </si>
  <si>
    <t>166.6 MB</t>
  </si>
  <si>
    <t>May 12, 2026 9:50 AM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</si>
  <si>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</si>
  <si>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CPQ11-TCOM-DEVS-DATA-R22.nwc</t>
    </r>
  </si>
  <si>
    <t>6.5 MB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</si>
  <si>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</si>
  <si>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CPQ11-TCOM-DEVS-SITE-R22.nwc</t>
    </r>
  </si>
  <si>
    <t>221.9 KB</t>
  </si>
  <si>
    <t>Apr 29, 2026 4:50 PM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</si>
  <si>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</si>
  <si>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CPQ11-BAS-R22.rvt</t>
    </r>
  </si>
  <si>
    <t>119.8 MB</t>
  </si>
  <si>
    <t>Dec 13, 2024 2:45 PM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</si>
  <si>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</si>
  <si>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CPQ11-ELEC-R22.nwc</t>
    </r>
  </si>
  <si>
    <t>125.5 MB</t>
  </si>
  <si>
    <t>Dec 18, 2024 10:36 AM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</si>
  <si>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</si>
  <si>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CPQ11-ELEC-R22.rvt</t>
    </r>
  </si>
  <si>
    <t>360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</si>
  <si>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</si>
  <si>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CPQ11-ELEC-SITE-R22.nwc</t>
    </r>
  </si>
  <si>
    <t>155.7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</si>
  <si>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</si>
  <si>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CPQ11-ELEC-SITE-R22.rvt</t>
    </r>
  </si>
  <si>
    <t>52.1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</si>
  <si>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</si>
  <si>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CPQ11-FALM-R22.rvt</t>
    </r>
  </si>
  <si>
    <t>32.6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</si>
  <si>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</si>
  <si>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CPQ11-FPRT-R22.rvt</t>
    </r>
  </si>
  <si>
    <t>197.6 MB</t>
  </si>
  <si>
    <t>Dec 19, 2024 11:31 AM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</si>
  <si>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</si>
  <si>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CPQ11-FPRT-SITE-R22.rvt</t>
    </r>
  </si>
  <si>
    <t>68.3 MB</t>
  </si>
  <si>
    <t>Dec 19, 2024 11:32 AM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</si>
  <si>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</si>
  <si>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CPQ11-FRPT-METK-UTLS-R22.nwc</t>
    </r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</si>
  <si>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</si>
  <si>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CPQ11-FRPT-METK-UTLS-R22.rvt</t>
    </r>
  </si>
  <si>
    <t>8.4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</si>
  <si>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</si>
  <si>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CPQ11-FRPT-METK-UTLS_-R22.rvt</t>
    </r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</si>
  <si>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</si>
  <si>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CPQ11-PLMB-R22.rvt</t>
    </r>
  </si>
  <si>
    <t>148.6 MB</t>
  </si>
  <si>
    <t>Dec 19, 2024 10:09 AM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</si>
  <si>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</si>
  <si>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CPQ11-PLMB-SITE-R22.nwc</t>
    </r>
  </si>
  <si>
    <t>37.7 MB</t>
  </si>
  <si>
    <t>Dec 19, 2024 10:10 AM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</si>
  <si>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</si>
  <si>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CPQ11-PLMB-SITE-R22.rvt</t>
    </r>
  </si>
  <si>
    <t>105.4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</si>
  <si>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</si>
  <si>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CPQ11-SCTY-R22.nwc</t>
    </r>
  </si>
  <si>
    <t>29.6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</si>
  <si>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</si>
  <si>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CPQ11-SCTY-R22.rvt</t>
    </r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</si>
  <si>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</si>
  <si>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CPQ11-SECURITY-SITE-R22.ifc</t>
    </r>
  </si>
  <si>
    <t>66.7 MB</t>
  </si>
  <si>
    <t>May 13, 2026 3:35 PM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</si>
  <si>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</si>
  <si>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CPQ11-SECURITY-SITE-R22.rvt</t>
    </r>
  </si>
  <si>
    <t>48.3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</si>
  <si>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</si>
  <si>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CPQ11-TCOM-INFR-DATA-R22.nwc</t>
    </r>
  </si>
  <si>
    <t>88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</si>
  <si>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</si>
  <si>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CPQ11-TCOM-INFR-DATA-R22.rvt</t>
    </r>
  </si>
  <si>
    <t>303.2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</si>
  <si>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</si>
  <si>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CPQ11-TCOM-INFR-SITE-R22.nwc</t>
    </r>
  </si>
  <si>
    <t>162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</si>
  <si>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</si>
  <si>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CPQ11-TCOM-INFR-SITE-R22.rvt</t>
    </r>
  </si>
  <si>
    <t>295.1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</si>
  <si>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</si>
  <si>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CPQ11-TCOM-R22.nwc</t>
    </r>
  </si>
  <si>
    <t>249.3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</si>
  <si>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</si>
  <si>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CPQ11-TCOM-R22.rvt</t>
    </r>
  </si>
  <si>
    <t>309.4 MB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</si>
  <si>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</si>
  <si>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CPQ11-BASM-DEVS-DATA-R22.rvt</t>
    </r>
  </si>
  <si>
    <t>51.5 MB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</si>
  <si>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</si>
  <si>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CPQ11-BASM-DEVS-PUMP-R22.rvt</t>
    </r>
  </si>
  <si>
    <t>37.9 MB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</si>
  <si>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</si>
  <si>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CPQ11-BASM-INFR-DATA-R22.rvt</t>
    </r>
  </si>
  <si>
    <t>52.4 MB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</si>
  <si>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</si>
  <si>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CPQ11-BASM-INFR-PUMP-R22.rvt</t>
    </r>
  </si>
  <si>
    <t>32.4 MB</t>
  </si>
  <si>
    <t>Apr 24, 2026 11:20 AM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</si>
  <si>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</si>
  <si>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CPQ11-DALI-DEVS-DATA-R22.rvt</t>
    </r>
  </si>
  <si>
    <t>206.5 MB</t>
  </si>
  <si>
    <t>Apr 15, 2026 6:03 PM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</si>
  <si>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</si>
  <si>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CPQ11-DASM-DEVS-DATA-R22.rvt</t>
    </r>
  </si>
  <si>
    <t>328.1 MB</t>
  </si>
  <si>
    <t>Apr 16, 2026 10:45 AM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</si>
  <si>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</si>
  <si>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CPQ11-ELEC-ELEC-DATA-R22.rvt</t>
    </r>
  </si>
  <si>
    <t>V52</t>
  </si>
  <si>
    <t>282.7 MB</t>
  </si>
  <si>
    <t>Apr 30, 2026 11:36 PM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</si>
  <si>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</si>
  <si>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CPQ11-ELEC-ELEC-SITE-R22.rvt</t>
    </r>
  </si>
  <si>
    <t>1 unresolved issue</t>
  </si>
  <si>
    <t>46.7 MB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</si>
  <si>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</si>
  <si>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CPQ11-ELEC-SPDA-DATA-R22.rvt</t>
    </r>
  </si>
  <si>
    <t>98.2 MB</t>
  </si>
  <si>
    <t>May 12, 2026 9:41 AM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</si>
  <si>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</si>
  <si>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CPQ11-ELEC-SPDA-SITE-R22.rvt</t>
    </r>
  </si>
  <si>
    <t>69.3 MB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</si>
  <si>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</si>
  <si>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CPQ11-EPMS-DEVS-DATA-R22.rvt</t>
    </r>
  </si>
  <si>
    <t>23.2 MB</t>
  </si>
  <si>
    <t>Apr 27, 2026 10:43 PM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</si>
  <si>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</si>
  <si>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CPQ11-EPMS-DEVS-SITE-R22.rvt</t>
    </r>
  </si>
  <si>
    <t>14.8 MB</t>
  </si>
  <si>
    <t>Feb 3, 2026 4:36 PM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</si>
  <si>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</si>
  <si>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CPQ11-FALM-FALM-DATA-R22.rvt</t>
    </r>
  </si>
  <si>
    <t>52.3 MB</t>
  </si>
  <si>
    <t>May 15, 2026 5:02 PM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</si>
  <si>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</si>
  <si>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CPQ11-FALM-FALM-SITE-R22.rvt</t>
    </r>
  </si>
  <si>
    <t>May 8, 2026 8:46 AM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</si>
  <si>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</si>
  <si>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CPQ11-FPRT-FPRT-DATA-R22.rvt</t>
    </r>
  </si>
  <si>
    <t>136.1 MB</t>
  </si>
  <si>
    <t>May 14, 2026 11:16 AM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</si>
  <si>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</si>
  <si>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CPQ11-FPRT-FPRT-SITE-R22.rvt</t>
    </r>
  </si>
  <si>
    <t>106.9 MB</t>
  </si>
  <si>
    <t>May 14, 2026 10:48 AM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</si>
  <si>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</si>
  <si>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CPQ11-FPRT-METK-UTLS-R22.rvt</t>
    </r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</si>
  <si>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</si>
  <si>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CPQ11-PLMB-DIES-SITE-R22.rvt</t>
    </r>
  </si>
  <si>
    <t>13.2 MB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</si>
  <si>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</si>
  <si>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CPQ11-PLMB-PLMB-DATA-R22.rvt</t>
    </r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</si>
  <si>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</si>
  <si>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CPQ11-PLMB-PLMB-SITE-R22.rvt</t>
    </r>
  </si>
  <si>
    <t>61.4 MB</t>
  </si>
  <si>
    <t>Apr 8, 2026 11:01 AM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</si>
  <si>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</si>
  <si>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CPQ11-ROIP-DEVS-DATA-R22.rvt</t>
    </r>
  </si>
  <si>
    <t>692.6 MB</t>
  </si>
  <si>
    <t>May 8, 2026 3:16 PM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</si>
  <si>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</si>
  <si>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CPQ11-ROIP-DEVS-GUAR-R22.rvt</t>
    </r>
  </si>
  <si>
    <t>38 MB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</si>
  <si>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</si>
  <si>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CPQ11-SCTY-DEVS-DATA-R22.rvt</t>
    </r>
  </si>
  <si>
    <t>208.4 MB</t>
  </si>
  <si>
    <t>May 6, 2026 9:11 AM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</si>
  <si>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</si>
  <si>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CPQ11-SCTY-DEVS-SITE-R22.rvt</t>
    </r>
  </si>
  <si>
    <t>V37</t>
  </si>
  <si>
    <t>222.7 MB</t>
  </si>
  <si>
    <t>Apr 10, 2026 4:38 PM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</si>
  <si>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</si>
  <si>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CPQ11-SCTY-GATE-SITE-R24.ifc</t>
    </r>
  </si>
  <si>
    <t>May 7, 2026 5:22 PM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</si>
  <si>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</si>
  <si>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CPQ11-SCTY-GATE-SITE-R24.rvt</t>
    </r>
  </si>
  <si>
    <t>37.3 MB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</si>
  <si>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</si>
  <si>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CPQ11-SCTY-INFR-DATA-R22.rvt</t>
    </r>
  </si>
  <si>
    <t>43.3 MB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</si>
  <si>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</si>
  <si>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CPQ11-SCTY-INFR-SITE-R22.rvt</t>
    </r>
  </si>
  <si>
    <t>25.4 MB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</si>
  <si>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</si>
  <si>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CPQ11-SYST-INFR-DATA-R22.rvt</t>
    </r>
  </si>
  <si>
    <t>Apr 10, 2026 4:26 PM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</si>
  <si>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</si>
  <si>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CPQ11-SYST-INFR-SITE-R22.rvt</t>
    </r>
  </si>
  <si>
    <t>42.9 MB</t>
  </si>
  <si>
    <t>May 12, 2026 9:54 AM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</si>
  <si>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</si>
  <si>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CPQ11-TCOM-DEVS-DATA-R22.rvt</t>
    </r>
  </si>
  <si>
    <t>98.9 MB</t>
  </si>
  <si>
    <t>Apr 30, 2026 3:43 PM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</si>
  <si>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</si>
  <si>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CPQ11-TCOM-DEVS-SITE-R22.rvt</t>
    </r>
  </si>
  <si>
    <t>38.5 MB</t>
  </si>
  <si>
    <t>Apr 29, 2026 4:52 PM</t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</si>
  <si>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</si>
  <si>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837-RACIONAL-PROJETO_GALILEU.zip</t>
    </r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</si>
  <si>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</si>
  <si>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CPQ11-STRC-STEE-ADMN-2X3.ifc</t>
    </r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</si>
  <si>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</si>
  <si>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CPQ11-STRC-STEE-COL1-2X3.ifc</t>
    </r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</si>
  <si>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</si>
  <si>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CPQ11-STRC-STEE-COL2-2X3.ifc</t>
    </r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</si>
  <si>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</si>
  <si>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CPQ11-STRC-STEE-COL3-2X3.ifc</t>
    </r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</si>
  <si>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</si>
  <si>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CPQ11-STRC-STEE-COL4-2X3.ifc</t>
    </r>
  </si>
  <si>
    <t>Dec 5, 2025 5:25 PM</t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</si>
  <si>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</si>
  <si>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CPQ11-STRC-STEE-COL5-2X3.ifc</t>
    </r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</si>
  <si>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</si>
  <si>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CPQ11-STRC-STEE-GUAR-2X3.ifc</t>
    </r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</si>
  <si>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</si>
  <si>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CPQ11-STRC-STEE-STIR-2X3.ifc</t>
    </r>
  </si>
  <si>
    <t>Oct 31, 2025 2:29 PM</t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</si>
  <si>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</si>
  <si>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CPQ11-STRC-STEE-UTLS-2X3.ifc</t>
    </r>
  </si>
  <si>
    <t>Feb 11, 2026 11:20 AM</t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</si>
  <si>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</si>
  <si>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CPQ11-STRC-STEE-UTLS-2X3.ifc.log</t>
    </r>
  </si>
  <si>
    <t>1.3 KB</t>
  </si>
  <si>
    <t>Feb 12, 2026 2:44 PM</t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</si>
  <si>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</si>
  <si>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CPQ11-STRC-STEE-UTLS-2X3.ifc.RVT</t>
    </r>
  </si>
  <si>
    <t>98.5 MB</t>
  </si>
  <si>
    <t>Feb 12, 2026 2:52 PM</t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</si>
  <si>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</si>
  <si>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CPQ11-STRC-STEE-UTLS-2X3.ifc.sharedparameters.txt</t>
    </r>
  </si>
  <si>
    <t>10.4 KB</t>
  </si>
  <si>
    <t>Feb 12, 2026 2:46 PM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</si>
  <si>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</si>
  <si>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CPQ11-STRC-STEE-ADMN-2X3.ifc</t>
    </r>
  </si>
  <si>
    <t>33.2 MB</t>
  </si>
  <si>
    <t>Feb 19, 2025 2:46 PM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</si>
  <si>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</si>
  <si>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CPQ11-STRC-STEE-COL1-2X3.ifc</t>
    </r>
  </si>
  <si>
    <t>64.7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</si>
  <si>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</si>
  <si>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CPQ11-STRC-STEE-COL2-2X3.ifc</t>
    </r>
  </si>
  <si>
    <t>76.7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</si>
  <si>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</si>
  <si>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CPQ11-STRC-STEE-COL3-2X3.ifc</t>
    </r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</si>
  <si>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</si>
  <si>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CPQ11-STRC-STEE-COL4-2X3.ifc</t>
    </r>
  </si>
  <si>
    <t>66.6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</si>
  <si>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</si>
  <si>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CPQ11-STRC-STEE-COL5-2X3.ifc</t>
    </r>
  </si>
  <si>
    <t>80.3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</si>
  <si>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</si>
  <si>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CPQ11-STRC-STEE-ESCA-2X3.ifc</t>
    </r>
  </si>
  <si>
    <t>11.4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</si>
  <si>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</si>
  <si>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CPQ11-STRC-STEE-GUAR-2X3.00.ifc</t>
    </r>
  </si>
  <si>
    <t>3.4 MB</t>
  </si>
  <si>
    <t>May 8, 2025 12:11 PM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</si>
  <si>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</si>
  <si>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CPQ11-STRC-STEE-GUAR-2X3.ifc</t>
    </r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</si>
  <si>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</si>
  <si>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CPQ11-STRC-STEE-UTIL-2X3.ifc</t>
    </r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</si>
  <si>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</si>
  <si>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CPQ11-STRC-STEE-UTLS-2X3.ifc</t>
    </r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</si>
  <si>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</si>
  <si>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CPQ11-STRC-STEEL-ADMN-IFC.ifc</t>
    </r>
  </si>
  <si>
    <t>46.1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</si>
  <si>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</si>
  <si>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CPQ11-STRC-STEEL-ANEX-IFC.ifc</t>
    </r>
  </si>
  <si>
    <t>Dec 18, 2024 2:18 PM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</si>
  <si>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</si>
  <si>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CPQ11-STRC-STEEL-ANEXO-03-12-2024.ifc</t>
    </r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</si>
  <si>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</si>
  <si>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CPQ11-STRC-STEEL-COL1.ifc</t>
    </r>
  </si>
  <si>
    <t>48.9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</si>
  <si>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</si>
  <si>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CPQ11-STRC-STEEL-COL2-IFC.ifc</t>
    </r>
  </si>
  <si>
    <t>40.2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</si>
  <si>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</si>
  <si>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CPQ11-STRC-STEEL-COL3-IFC.ifc</t>
    </r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</si>
  <si>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</si>
  <si>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CPQ11-STRC-STEEL-COL4-IFC.ifc</t>
    </r>
  </si>
  <si>
    <t>32.8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</si>
  <si>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</si>
  <si>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CPQ11-STRC-STEEL-COL5-IFC.ifc</t>
    </r>
  </si>
  <si>
    <t>41.4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</si>
  <si>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</si>
  <si>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CPQ11-STRC-STEEL-GNRL-IFC.ifc</t>
    </r>
  </si>
  <si>
    <t>170.7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</si>
  <si>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</si>
  <si>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CPQ11-STRC-STEEL-PROJETO-GALILEU-COMPLETO-14-11-2024.ifc</t>
    </r>
  </si>
  <si>
    <t>270.5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</si>
  <si>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</si>
  <si>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CPQ11-STRC-STEEL-PROJETO-GALILEU-COMPLETO.ifc</t>
    </r>
  </si>
  <si>
    <t>271.2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</si>
  <si>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</si>
  <si>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PLAT.GERADORES.ifc</t>
    </r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</si>
  <si>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</si>
  <si>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TORRE DE ESCADA 29-07-2024.ifc</t>
    </r>
  </si>
  <si>
    <r>
      <rPr>
        <rFont val="Calibri"/>
        <b/>
        <color rgb="FF1155CC"/>
        <sz val="11.0"/>
        <u/>
      </rPr>
      <t>01-WORK IN PROGRESS/BIM/MODELS/DELEGATED DESIGN R22/STEEL STRUCTURE</t>
    </r>
  </si>
  <si>
    <r>
      <rPr>
        <rFont val="Calibri"/>
        <b/>
        <color rgb="FF1155CC"/>
        <sz val="11.0"/>
        <u/>
      </rPr>
      <t>CPQ11-STRC-STEE-ADMN-R22.RVT</t>
    </r>
  </si>
  <si>
    <t>211.8 MB</t>
  </si>
  <si>
    <r>
      <rPr>
        <rFont val="Calibri"/>
        <b/>
        <color rgb="FF1155CC"/>
        <sz val="11.0"/>
        <u/>
      </rPr>
      <t>01-WORK IN PROGRESS/BIM/MODELS/DELEGATED DESIGN R22/STEEL STRUCTURE</t>
    </r>
  </si>
  <si>
    <r>
      <rPr>
        <rFont val="Calibri"/>
        <b/>
        <color rgb="FF1155CC"/>
        <sz val="11.0"/>
        <u/>
      </rPr>
      <t>CPQ11-STRC-STEE-COL1-R22.RVT</t>
    </r>
  </si>
  <si>
    <t>642 MB</t>
  </si>
  <si>
    <r>
      <rPr>
        <rFont val="Calibri"/>
        <b/>
        <color rgb="FF1155CC"/>
        <sz val="11.0"/>
        <u/>
      </rPr>
      <t>01-WORK IN PROGRESS/BIM/MODELS/DELEGATED DESIGN R22/STEEL STRUCTURE</t>
    </r>
  </si>
  <si>
    <r>
      <rPr>
        <rFont val="Calibri"/>
        <b/>
        <color rgb="FF1155CC"/>
        <sz val="11.0"/>
        <u/>
      </rPr>
      <t>CPQ11-STRC-STEE-COL2-R22.RVT</t>
    </r>
  </si>
  <si>
    <t>717.7 MB</t>
  </si>
  <si>
    <r>
      <rPr>
        <rFont val="Calibri"/>
        <b/>
        <color rgb="FF1155CC"/>
        <sz val="11.0"/>
        <u/>
      </rPr>
      <t>01-WORK IN PROGRESS/BIM/MODELS/DELEGATED DESIGN R22/STEEL STRUCTURE</t>
    </r>
  </si>
  <si>
    <r>
      <rPr>
        <rFont val="Calibri"/>
        <b/>
        <color rgb="FF1155CC"/>
        <sz val="11.0"/>
        <u/>
      </rPr>
      <t>CPQ11-STRC-STEE-COL3-R22.RVT</t>
    </r>
  </si>
  <si>
    <t>719.2 MB</t>
  </si>
  <si>
    <r>
      <rPr>
        <rFont val="Calibri"/>
        <b/>
        <color rgb="FF1155CC"/>
        <sz val="11.0"/>
        <u/>
      </rPr>
      <t>01-WORK IN PROGRESS/BIM/MODELS/DELEGATED DESIGN R22/STEEL STRUCTURE</t>
    </r>
  </si>
  <si>
    <r>
      <rPr>
        <rFont val="Calibri"/>
        <b/>
        <color rgb="FF1155CC"/>
        <sz val="11.0"/>
        <u/>
      </rPr>
      <t>CPQ11-STRC-STEE-COL4-R22.RVT</t>
    </r>
  </si>
  <si>
    <t>656.1 MB</t>
  </si>
  <si>
    <t>Dec 17, 2025 5:21 PM</t>
  </si>
  <si>
    <r>
      <rPr>
        <rFont val="Calibri"/>
        <b/>
        <color rgb="FF1155CC"/>
        <sz val="11.0"/>
        <u/>
      </rPr>
      <t>01-WORK IN PROGRESS/BIM/MODELS/DELEGATED DESIGN R22/STEEL STRUCTURE</t>
    </r>
  </si>
  <si>
    <r>
      <rPr>
        <rFont val="Calibri"/>
        <b/>
        <color rgb="FF1155CC"/>
        <sz val="11.0"/>
        <u/>
      </rPr>
      <t>CPQ11-STRC-STEE-COL5-R22.RVT</t>
    </r>
  </si>
  <si>
    <t>734.7 MB</t>
  </si>
  <si>
    <r>
      <rPr>
        <rFont val="Calibri"/>
        <b/>
        <color rgb="FF1155CC"/>
        <sz val="11.0"/>
        <u/>
      </rPr>
      <t>01-WORK IN PROGRESS/BIM/MODELS/DELEGATED DESIGN R22/STEEL STRUCTURE</t>
    </r>
  </si>
  <si>
    <r>
      <rPr>
        <rFont val="Calibri"/>
        <b/>
        <color rgb="FF1155CC"/>
        <sz val="11.0"/>
        <u/>
      </rPr>
      <t>CPQ11-STRC-STEE-GUAR-R22.RVT</t>
    </r>
  </si>
  <si>
    <t>24.3 MB</t>
  </si>
  <si>
    <r>
      <rPr>
        <rFont val="Calibri"/>
        <b/>
        <color rgb="FF1155CC"/>
        <sz val="11.0"/>
        <u/>
      </rPr>
      <t>01-WORK IN PROGRESS/BIM/MODELS/DELEGATED DESIGN R22/STEEL STRUCTURE</t>
    </r>
  </si>
  <si>
    <r>
      <rPr>
        <rFont val="Calibri"/>
        <b/>
        <color rgb="FF1155CC"/>
        <sz val="11.0"/>
        <u/>
      </rPr>
      <t>CPQ11-STRC-STEE-STIR-R22.RVT</t>
    </r>
  </si>
  <si>
    <t>102.2 MB</t>
  </si>
  <si>
    <r>
      <rPr>
        <rFont val="Calibri"/>
        <b/>
        <color rgb="FF1155CC"/>
        <sz val="11.0"/>
        <u/>
      </rPr>
      <t>01-WORK IN PROGRESS/BIM/MODELS/DELEGATED DESIGN R22/STEEL STRUCTURE</t>
    </r>
  </si>
  <si>
    <r>
      <rPr>
        <rFont val="Calibri"/>
        <b/>
        <color rgb="FF1155CC"/>
        <sz val="11.0"/>
        <u/>
      </rPr>
      <t>CPQ11-STRC-STEE-UTLS-R22.RVT</t>
    </r>
  </si>
  <si>
    <t>99.9 MB</t>
  </si>
  <si>
    <t>Feb 13, 2026 10:27 AM</t>
  </si>
  <si>
    <r>
      <rPr>
        <rFont val="Calibri"/>
        <b/>
        <color rgb="FF1155CC"/>
        <sz val="11.0"/>
        <u/>
      </rPr>
      <t>01-WORK IN PROGRESS/BIM/MODELS/DELEGATED DESIGN R22/STRC/NWC</t>
    </r>
  </si>
  <si>
    <r>
      <rPr>
        <rFont val="Calibri"/>
        <b/>
        <color rgb="FF1155CC"/>
        <sz val="11.0"/>
        <u/>
      </rPr>
      <t>CPQ11-STRC-CONC-DATA-R22.nwc</t>
    </r>
  </si>
  <si>
    <t>472.5 KB</t>
  </si>
  <si>
    <t>Apr 22, 2026 11:13 AM</t>
  </si>
  <si>
    <r>
      <rPr>
        <rFont val="Calibri"/>
        <b/>
        <color rgb="FF1155CC"/>
        <sz val="11.0"/>
        <u/>
      </rPr>
      <t>01-WORK IN PROGRESS/BIM/MODELS/DELEGATED DESIGN R22/STRC/NWC</t>
    </r>
  </si>
  <si>
    <r>
      <rPr>
        <rFont val="Calibri"/>
        <b/>
        <color rgb="FF1155CC"/>
        <sz val="11.0"/>
        <u/>
      </rPr>
      <t>CPQ11-STRC-CONC-SITE-R22.nwc</t>
    </r>
  </si>
  <si>
    <t>586.2 KB</t>
  </si>
  <si>
    <t>May 12, 2026 10:53 AM</t>
  </si>
  <si>
    <r>
      <rPr>
        <rFont val="Calibri"/>
        <b/>
        <color rgb="FF1155CC"/>
        <sz val="11.0"/>
        <u/>
      </rPr>
      <t>01-WORK IN PROGRESS/BIM/MODELS/DELEGATED DESIGN R22/STRC/NWC</t>
    </r>
  </si>
  <si>
    <r>
      <rPr>
        <rFont val="Calibri"/>
        <b/>
        <color rgb="FF1155CC"/>
        <sz val="11.0"/>
        <u/>
      </rPr>
      <t>CPQ11-STRC-DPFN-DATA-R22.nwc</t>
    </r>
  </si>
  <si>
    <t>265.4 KB</t>
  </si>
  <si>
    <t>Apr 28, 2026 11:32 AM</t>
  </si>
  <si>
    <r>
      <rPr>
        <rFont val="Calibri"/>
        <b/>
        <color rgb="FF1155CC"/>
        <sz val="11.0"/>
        <u/>
      </rPr>
      <t>01-WORK IN PROGRESS/BIM/MODELS/DELEGATED DESIGN R22/STRC/NWC</t>
    </r>
  </si>
  <si>
    <r>
      <rPr>
        <rFont val="Calibri"/>
        <b/>
        <color rgb="FF1155CC"/>
        <sz val="11.0"/>
        <u/>
      </rPr>
      <t>CPQ11-STRC-DPFN-SITE-R22.nwc</t>
    </r>
  </si>
  <si>
    <r>
      <rPr>
        <rFont val="Calibri"/>
        <b/>
        <color rgb="FF1155CC"/>
        <sz val="11.0"/>
        <u/>
      </rPr>
      <t>01-WORK IN PROGRESS/BIM/MODELS/DELEGATED DESIGN R22/STRC/NWC</t>
    </r>
  </si>
  <si>
    <r>
      <rPr>
        <rFont val="Calibri"/>
        <b/>
        <color rgb="FF1155CC"/>
        <sz val="11.0"/>
        <u/>
      </rPr>
      <t>CPQ11-STRC-FLOO-DATA-R22.nwc</t>
    </r>
  </si>
  <si>
    <t>2.8 GB</t>
  </si>
  <si>
    <t>May 5, 2026 5:24 PM</t>
  </si>
  <si>
    <r>
      <rPr>
        <rFont val="Calibri"/>
        <b/>
        <color rgb="FF1155CC"/>
        <sz val="11.0"/>
        <u/>
      </rPr>
      <t>01-WORK IN PROGRESS/BIM/MODELS/DELEGATED DESIGN R22/STRC/NWC</t>
    </r>
  </si>
  <si>
    <r>
      <rPr>
        <rFont val="Calibri"/>
        <b/>
        <color rgb="FF1155CC"/>
        <sz val="11.0"/>
        <u/>
      </rPr>
      <t>CPQ11-STRC-FLOO-SITE-R22.nwc</t>
    </r>
  </si>
  <si>
    <t>53.7 MB</t>
  </si>
  <si>
    <t>May 5, 2026 2:44 PM</t>
  </si>
  <si>
    <r>
      <rPr>
        <rFont val="Calibri"/>
        <b/>
        <color rgb="FF1155CC"/>
        <sz val="11.0"/>
        <u/>
      </rPr>
      <t>01-WORK IN PROGRESS/BIM/MODELS/DELEGATED DESIGN R22/STRC</t>
    </r>
  </si>
  <si>
    <r>
      <rPr>
        <rFont val="Calibri"/>
        <b/>
        <color rgb="FF1155CC"/>
        <sz val="11.0"/>
        <u/>
      </rPr>
      <t>CPQ11-STRC-CONC-DATA-R22.rvt</t>
    </r>
  </si>
  <si>
    <t>16.6 MB</t>
  </si>
  <si>
    <t>Apr 22, 2026 11:16 AM</t>
  </si>
  <si>
    <r>
      <rPr>
        <rFont val="Calibri"/>
        <b/>
        <color rgb="FF1155CC"/>
        <sz val="11.0"/>
        <u/>
      </rPr>
      <t>01-WORK IN PROGRESS/BIM/MODELS/DELEGATED DESIGN R22/STRC</t>
    </r>
  </si>
  <si>
    <r>
      <rPr>
        <rFont val="Calibri"/>
        <b/>
        <color rgb="FF1155CC"/>
        <sz val="11.0"/>
        <u/>
      </rPr>
      <t>CPQ11-STRC-CONC-SITE-R22.rvt</t>
    </r>
  </si>
  <si>
    <t>May 12, 2026 10:55 AM</t>
  </si>
  <si>
    <r>
      <rPr>
        <rFont val="Calibri"/>
        <b/>
        <color rgb="FF1155CC"/>
        <sz val="11.0"/>
        <u/>
      </rPr>
      <t>01-WORK IN PROGRESS/BIM/MODELS/DELEGATED DESIGN R22/STRC</t>
    </r>
  </si>
  <si>
    <r>
      <rPr>
        <rFont val="Calibri"/>
        <b/>
        <color rgb="FF1155CC"/>
        <sz val="11.0"/>
        <u/>
      </rPr>
      <t>CPQ11-STRC-DPFN-DATA-R22.rvt</t>
    </r>
  </si>
  <si>
    <t>Apr 28, 2026 11:33 AM</t>
  </si>
  <si>
    <r>
      <rPr>
        <rFont val="Calibri"/>
        <b/>
        <color rgb="FF1155CC"/>
        <sz val="11.0"/>
        <u/>
      </rPr>
      <t>01-WORK IN PROGRESS/BIM/MODELS/DELEGATED DESIGN R22/STRC</t>
    </r>
  </si>
  <si>
    <r>
      <rPr>
        <rFont val="Calibri"/>
        <b/>
        <color rgb="FF1155CC"/>
        <sz val="11.0"/>
        <u/>
      </rPr>
      <t>CPQ11-STRC-DPFN-SITE-R22.rvt</t>
    </r>
  </si>
  <si>
    <t>13.7 MB</t>
  </si>
  <si>
    <r>
      <rPr>
        <rFont val="Calibri"/>
        <b/>
        <color rgb="FF1155CC"/>
        <sz val="11.0"/>
        <u/>
      </rPr>
      <t>01-WORK IN PROGRESS/BIM/MODELS/DELEGATED DESIGN R22/STRC</t>
    </r>
  </si>
  <si>
    <r>
      <rPr>
        <rFont val="Calibri"/>
        <b/>
        <color rgb="FF1155CC"/>
        <sz val="11.0"/>
        <u/>
      </rPr>
      <t>CPQ11-STRC-FLOO-DATA-R22.rvt</t>
    </r>
  </si>
  <si>
    <t>130.4 MB</t>
  </si>
  <si>
    <t>May 5, 2026 5:51 PM</t>
  </si>
  <si>
    <r>
      <rPr>
        <rFont val="Calibri"/>
        <b/>
        <color rgb="FF1155CC"/>
        <sz val="11.0"/>
        <u/>
      </rPr>
      <t>01-WORK IN PROGRESS/BIM/MODELS/DELEGATED DESIGN R22/STRC</t>
    </r>
  </si>
  <si>
    <r>
      <rPr>
        <rFont val="Calibri"/>
        <b/>
        <color rgb="FF1155CC"/>
        <sz val="11.0"/>
        <u/>
      </rPr>
      <t>CPQ11-STRC-FLOO-SITE-R22.rvt</t>
    </r>
  </si>
  <si>
    <t>16.8 MB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</si>
</sst>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mmm d, yyyy hh:mm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b/>
      <sz val="24.0"/>
      <color theme="1"/>
      <name val="Arial"/>
    </font>
    <font>
      <sz val="11.0"/>
      <color rgb="FF000000"/>
      <name val="Arial"/>
      <scheme val="minor"/>
    </font>
    <font/>
    <font>
      <color rgb="FF131313"/>
      <name val="Arial"/>
      <scheme val="minor"/>
    </font>
    <font>
      <b/>
      <sz val="24.0"/>
      <color theme="1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b/>
      <sz val="14.0"/>
      <color rgb="FF000000"/>
      <name val="Arial"/>
    </font>
    <font>
      <sz val="11.0"/>
      <color theme="1"/>
      <name val="Arial"/>
      <scheme val="minor"/>
    </font>
    <font>
      <sz val="11.0"/>
      <color rgb="FF222222"/>
      <name val="Arial"/>
      <scheme val="minor"/>
    </font>
    <font>
      <color theme="1"/>
      <name val="Arial"/>
    </font>
    <font>
      <sz val="11.0"/>
      <color rgb="FF000000"/>
      <name val="Arial"/>
    </font>
    <font>
      <sz val="11.0"/>
      <color rgb="FF000000"/>
      <name val="&quot;Artifakt Element&quot;"/>
    </font>
    <font>
      <color rgb="FF000000"/>
      <name val="Arial"/>
    </font>
    <font>
      <sz val="11.0"/>
      <color theme="1"/>
      <name val="Arial"/>
    </font>
    <font>
      <color rgb="FFFF0000"/>
      <name val="Arial"/>
      <scheme val="minor"/>
    </font>
    <font>
      <b/>
      <sz val="12.0"/>
      <color theme="1"/>
      <name val="Arial"/>
    </font>
    <font>
      <b/>
      <u/>
      <sz val="11.0"/>
      <color rgb="FF0000FF"/>
      <name val="Calibri"/>
    </font>
    <font>
      <sz val="12.0"/>
      <color theme="1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BDAD7"/>
        <bgColor rgb="FFFBDAD7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E8EAED"/>
        <bgColor rgb="FFE8EAED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76A5AF"/>
        <bgColor rgb="FF76A5AF"/>
      </patternFill>
    </fill>
    <fill>
      <patternFill patternType="solid">
        <fgColor rgb="FFCCCCCC"/>
        <bgColor rgb="FFCCCCCC"/>
      </patternFill>
    </fill>
    <fill>
      <patternFill patternType="solid">
        <fgColor rgb="FFEEEEEE"/>
        <bgColor rgb="FFEEEEEE"/>
      </patternFill>
    </fill>
    <fill>
      <patternFill patternType="solid">
        <fgColor rgb="FFFFFF00"/>
        <bgColor rgb="FFFFFF00"/>
      </patternFill>
    </fill>
  </fills>
  <borders count="11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4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0" fillId="0" fontId="5" numFmtId="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6" numFmtId="0" xfId="0" applyAlignment="1" applyFont="1">
      <alignment horizontal="center" readingOrder="0" vertical="center"/>
    </xf>
    <xf borderId="0" fillId="0" fontId="1" numFmtId="0" xfId="0" applyAlignment="1" applyFont="1">
      <alignment horizontal="right"/>
    </xf>
    <xf borderId="3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2" fontId="8" numFmtId="0" xfId="0" applyAlignment="1" applyFill="1" applyFont="1">
      <alignment horizontal="center" readingOrder="0" shrinkToFit="0" vertical="center" wrapText="1"/>
    </xf>
    <xf borderId="6" fillId="2" fontId="7" numFmtId="0" xfId="0" applyAlignment="1" applyBorder="1" applyFont="1">
      <alignment horizontal="center" readingOrder="0" shrinkToFit="0" vertical="center" wrapText="1"/>
    </xf>
    <xf borderId="0" fillId="3" fontId="7" numFmtId="0" xfId="0" applyAlignment="1" applyFill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4" fontId="7" numFmtId="0" xfId="0" applyAlignment="1" applyFill="1" applyFont="1">
      <alignment horizontal="center" readingOrder="0" shrinkToFit="0" vertical="center" wrapText="1"/>
    </xf>
    <xf borderId="0" fillId="3" fontId="7" numFmtId="0" xfId="0" applyAlignment="1" applyFont="1">
      <alignment horizontal="center" shrinkToFit="0" vertical="center" wrapText="1"/>
    </xf>
    <xf borderId="7" fillId="2" fontId="7" numFmtId="0" xfId="0" applyAlignment="1" applyBorder="1" applyFont="1">
      <alignment horizontal="center" shrinkToFit="0" vertical="center" wrapText="1"/>
    </xf>
    <xf borderId="8" fillId="5" fontId="9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9" fillId="6" fontId="3" numFmtId="0" xfId="0" applyAlignment="1" applyBorder="1" applyFill="1" applyFont="1">
      <alignment horizontal="center" readingOrder="0" shrinkToFit="0" vertical="center" wrapText="1"/>
    </xf>
    <xf borderId="9" fillId="0" fontId="3" numFmtId="164" xfId="0" applyAlignment="1" applyBorder="1" applyFont="1" applyNumberForma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vertical="center"/>
    </xf>
    <xf borderId="9" fillId="0" fontId="3" numFmtId="9" xfId="0" applyAlignment="1" applyBorder="1" applyFont="1" applyNumberFormat="1">
      <alignment horizontal="center" readingOrder="0" shrinkToFit="0" vertical="center" wrapText="1"/>
    </xf>
    <xf borderId="9" fillId="7" fontId="10" numFmtId="0" xfId="0" applyAlignment="1" applyBorder="1" applyFill="1" applyFont="1">
      <alignment horizontal="center" readingOrder="0"/>
    </xf>
    <xf borderId="9" fillId="8" fontId="10" numFmtId="0" xfId="0" applyAlignment="1" applyBorder="1" applyFill="1" applyFont="1">
      <alignment horizontal="center" readingOrder="0"/>
    </xf>
    <xf borderId="9" fillId="8" fontId="10" numFmtId="9" xfId="0" applyAlignment="1" applyBorder="1" applyFont="1" applyNumberFormat="1">
      <alignment horizontal="center" readingOrder="0"/>
    </xf>
    <xf borderId="9" fillId="9" fontId="3" numFmtId="0" xfId="0" applyAlignment="1" applyBorder="1" applyFill="1" applyFont="1">
      <alignment horizontal="center" readingOrder="0" shrinkToFit="0" vertical="center" wrapText="1"/>
    </xf>
    <xf borderId="9" fillId="10" fontId="3" numFmtId="0" xfId="0" applyAlignment="1" applyBorder="1" applyFill="1" applyFont="1">
      <alignment horizontal="center" readingOrder="0" shrinkToFit="0" vertical="center" wrapText="1"/>
    </xf>
    <xf borderId="9" fillId="0" fontId="11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horizontal="center" readingOrder="0"/>
    </xf>
    <xf borderId="9" fillId="11" fontId="3" numFmtId="0" xfId="0" applyAlignment="1" applyBorder="1" applyFill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9" fillId="12" fontId="3" numFmtId="0" xfId="0" applyAlignment="1" applyBorder="1" applyFill="1" applyFont="1">
      <alignment horizontal="center" readingOrder="0" shrinkToFit="0" vertical="center" wrapText="1"/>
    </xf>
    <xf borderId="9" fillId="0" fontId="1" numFmtId="0" xfId="0" applyBorder="1" applyFont="1"/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9" fillId="13" fontId="3" numFmtId="0" xfId="0" applyAlignment="1" applyBorder="1" applyFill="1" applyFont="1">
      <alignment horizontal="center" readingOrder="0" shrinkToFit="0" vertical="center" wrapText="1"/>
    </xf>
    <xf borderId="9" fillId="14" fontId="3" numFmtId="0" xfId="0" applyAlignment="1" applyBorder="1" applyFill="1" applyFont="1">
      <alignment horizontal="center" readingOrder="0" shrinkToFit="0" vertical="center" wrapText="1"/>
    </xf>
    <xf borderId="9" fillId="15" fontId="3" numFmtId="0" xfId="0" applyAlignment="1" applyBorder="1" applyFill="1" applyFont="1">
      <alignment horizontal="center" readingOrder="0" shrinkToFit="0" vertical="center" wrapText="1"/>
    </xf>
    <xf borderId="9" fillId="16" fontId="3" numFmtId="0" xfId="0" applyAlignment="1" applyBorder="1" applyFill="1" applyFont="1">
      <alignment horizontal="center" readingOrder="0" shrinkToFit="0" vertical="center" wrapText="1"/>
    </xf>
    <xf borderId="9" fillId="0" fontId="3" numFmtId="165" xfId="0" applyAlignment="1" applyBorder="1" applyFont="1" applyNumberFormat="1">
      <alignment horizontal="center" readingOrder="0" shrinkToFit="0" vertical="center" wrapText="1"/>
    </xf>
    <xf borderId="9" fillId="17" fontId="3" numFmtId="0" xfId="0" applyAlignment="1" applyBorder="1" applyFill="1" applyFont="1">
      <alignment horizontal="center" readingOrder="0" shrinkToFit="0" vertical="center" wrapText="1"/>
    </xf>
    <xf borderId="9" fillId="18" fontId="3" numFmtId="0" xfId="0" applyAlignment="1" applyBorder="1" applyFill="1" applyFont="1">
      <alignment horizontal="center" readingOrder="0" shrinkToFit="0" vertical="center" wrapText="1"/>
    </xf>
    <xf borderId="9" fillId="19" fontId="3" numFmtId="9" xfId="0" applyAlignment="1" applyBorder="1" applyFill="1" applyFont="1" applyNumberFormat="1">
      <alignment horizontal="center" readingOrder="0" shrinkToFit="0" vertical="center" wrapText="1"/>
    </xf>
    <xf borderId="9" fillId="6" fontId="1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readingOrder="0"/>
    </xf>
    <xf borderId="9" fillId="7" fontId="3" numFmtId="9" xfId="0" applyAlignment="1" applyBorder="1" applyFont="1" applyNumberFormat="1">
      <alignment horizontal="center" readingOrder="0" shrinkToFit="0" vertical="center" wrapText="1"/>
    </xf>
    <xf borderId="9" fillId="7" fontId="3" numFmtId="0" xfId="0" applyAlignment="1" applyBorder="1" applyFont="1">
      <alignment horizontal="center" readingOrder="0" shrinkToFit="0" vertical="center" wrapText="1"/>
    </xf>
    <xf borderId="9" fillId="20" fontId="3" numFmtId="0" xfId="0" applyAlignment="1" applyBorder="1" applyFill="1" applyFont="1">
      <alignment horizontal="center" readingOrder="0" shrinkToFit="0" vertical="center" wrapText="1"/>
    </xf>
    <xf borderId="9" fillId="21" fontId="3" numFmtId="0" xfId="0" applyAlignment="1" applyBorder="1" applyFill="1" applyFont="1">
      <alignment horizontal="center" readingOrder="0" shrinkToFit="0" vertical="center" wrapText="1"/>
    </xf>
    <xf borderId="9" fillId="22" fontId="3" numFmtId="0" xfId="0" applyAlignment="1" applyBorder="1" applyFill="1" applyFont="1">
      <alignment horizontal="center" readingOrder="0" shrinkToFit="0" vertical="center" wrapText="1"/>
    </xf>
    <xf borderId="9" fillId="3" fontId="3" numFmtId="0" xfId="0" applyAlignment="1" applyBorder="1" applyFont="1">
      <alignment horizontal="center" readingOrder="0" shrinkToFit="0" vertical="center" wrapText="1"/>
    </xf>
    <xf borderId="9" fillId="23" fontId="3" numFmtId="0" xfId="0" applyAlignment="1" applyBorder="1" applyFill="1" applyFont="1">
      <alignment horizontal="center" readingOrder="0" shrinkToFit="0" vertical="center" wrapText="1"/>
    </xf>
    <xf borderId="9" fillId="24" fontId="3" numFmtId="0" xfId="0" applyAlignment="1" applyBorder="1" applyFill="1" applyFont="1">
      <alignment horizontal="center" readingOrder="0" shrinkToFit="0" vertical="center" wrapText="1"/>
    </xf>
    <xf borderId="0" fillId="1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3" numFmtId="164" xfId="0" applyAlignment="1" applyFont="1" applyNumberFormat="1">
      <alignment horizontal="center" readingOrder="0" shrinkToFit="0" vertical="center" wrapText="1"/>
    </xf>
    <xf borderId="0" fillId="0" fontId="14" numFmtId="0" xfId="0" applyAlignment="1" applyFont="1">
      <alignment readingOrder="0"/>
    </xf>
    <xf borderId="0" fillId="0" fontId="15" numFmtId="0" xfId="0" applyAlignment="1" applyFont="1">
      <alignment horizontal="center" readingOrder="0" shrinkToFit="0" vertical="center" wrapText="1"/>
    </xf>
    <xf borderId="0" fillId="0" fontId="13" numFmtId="9" xfId="0" applyAlignment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left" readingOrder="0"/>
    </xf>
    <xf borderId="0" fillId="0" fontId="13" numFmtId="0" xfId="0" applyAlignment="1" applyFont="1">
      <alignment horizontal="center" readingOrder="0"/>
    </xf>
    <xf borderId="0" fillId="0" fontId="16" numFmtId="0" xfId="0" applyAlignment="1" applyFont="1">
      <alignment horizontal="center" shrinkToFit="0" wrapText="1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wrapText="0"/>
    </xf>
    <xf borderId="0" fillId="25" fontId="1" numFmtId="0" xfId="0" applyAlignment="1" applyFill="1" applyFon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  <xf borderId="10" fillId="26" fontId="18" numFmtId="0" xfId="0" applyAlignment="1" applyBorder="1" applyFill="1" applyFont="1">
      <alignment horizontal="left" readingOrder="0" shrinkToFit="0" wrapText="0"/>
    </xf>
    <xf borderId="10" fillId="27" fontId="18" numFmtId="0" xfId="0" applyAlignment="1" applyBorder="1" applyFill="1" applyFont="1">
      <alignment vertical="bottom"/>
    </xf>
    <xf borderId="10" fillId="0" fontId="19" numFmtId="0" xfId="0" applyAlignment="1" applyBorder="1" applyFont="1">
      <alignment horizontal="left" readingOrder="0" shrinkToFit="0" vertical="top" wrapText="0"/>
    </xf>
    <xf borderId="10" fillId="0" fontId="20" numFmtId="0" xfId="0" applyAlignment="1" applyBorder="1" applyFont="1">
      <alignment horizontal="left" readingOrder="0" shrinkToFit="0" vertical="top" wrapText="0"/>
    </xf>
    <xf borderId="10" fillId="0" fontId="20" numFmtId="0" xfId="0" applyAlignment="1" applyBorder="1" applyFont="1">
      <alignment horizontal="left" shrinkToFit="0" vertical="top" wrapText="0"/>
    </xf>
    <xf borderId="10" fillId="0" fontId="20" numFmtId="166" xfId="0" applyAlignment="1" applyBorder="1" applyFont="1" applyNumberFormat="1">
      <alignment horizontal="left" readingOrder="0" shrinkToFit="0" vertical="top" wrapText="0"/>
    </xf>
    <xf borderId="10" fillId="0" fontId="20" numFmtId="166" xfId="0" applyAlignment="1" applyBorder="1" applyFont="1" applyNumberFormat="1">
      <alignment vertical="top"/>
    </xf>
    <xf borderId="10" fillId="0" fontId="20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>
        <color rgb="FFCCCCCC"/>
      </font>
      <fill>
        <patternFill patternType="solid">
          <fgColor rgb="FF11734B"/>
          <bgColor rgb="FF11734B"/>
        </patternFill>
      </fill>
      <border/>
    </dxf>
    <dxf>
      <font>
        <color rgb="FF000000"/>
      </font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847850" cy="857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67</xdr:col>
      <xdr:colOff>0</xdr:colOff>
      <xdr:row>1</xdr:row>
      <xdr:rowOff>0</xdr:rowOff>
    </xdr:from>
    <xdr:ext cx="866775" cy="8572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XtpfYcfvQ2q9pUwtdubPMg&amp;viewModel=detail&amp;moduleId=folders" TargetMode="External"/><Relationship Id="rId190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O63UVX4eT3ycozNTanYLWQ&amp;viewModel=detail&amp;moduleId=folders" TargetMode="External"/><Relationship Id="rId42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tAylGYeMT7aosaM4Jxza6g&amp;viewModel=detail&amp;moduleId=folders" TargetMode="External"/><Relationship Id="rId41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44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0t1L6b_yRpS-t4r6kKq4pg&amp;viewModel=detail&amp;moduleId=folders" TargetMode="External"/><Relationship Id="rId194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dPnKI-J2Q5CFmk0xz8n62A&amp;viewModel=detail&amp;moduleId=folders" TargetMode="External"/><Relationship Id="rId43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193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46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RFNNWWtSQ1-5mtLSpSjjdQ&amp;viewModel=detail&amp;moduleId=folders" TargetMode="External"/><Relationship Id="rId192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PpImKsL1SIK5Gj3SLgXgiQ&amp;viewModel=detail&amp;moduleId=folders" TargetMode="External"/><Relationship Id="rId45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191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48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opkC-KuuSFyCL7D_TZN7WQ&amp;viewModel=detail&amp;moduleId=folders" TargetMode="External"/><Relationship Id="rId187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47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186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VzsaoQGNTq6LW-cmAm6jnw&amp;viewModel=detail&amp;moduleId=folders" TargetMode="External"/><Relationship Id="rId185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49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184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MRCETzIqRE-Ybl-PN8xhjA&amp;viewModel=detail&amp;moduleId=folders" TargetMode="External"/><Relationship Id="rId189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188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5FQbudrNRnqb6ANt1bGhFA&amp;viewModel=detail&amp;moduleId=folders" TargetMode="External"/><Relationship Id="rId31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30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jUnRq2qhTWqCnvjq9JdVHQ&amp;viewModel=detail&amp;moduleId=folders" TargetMode="External"/><Relationship Id="rId33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83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32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VmLJUMXaTjuczONKZomNpA&amp;viewModel=detail&amp;moduleId=folders" TargetMode="External"/><Relationship Id="rId182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JBG-_sc0SEq0MOblCCvhdA&amp;viewModel=detail&amp;moduleId=folders" TargetMode="External"/><Relationship Id="rId35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81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34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LahxRejeQPGGFU96FPO9FQ&amp;viewModel=detail&amp;moduleId=folders" TargetMode="External"/><Relationship Id="rId180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vxkPhCUNRsGlNsAsKQs0JA&amp;viewModel=detail&amp;moduleId=folders" TargetMode="External"/><Relationship Id="rId37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76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ThTmsyS-Q-yM5OONxA-LLg&amp;viewModel=detail&amp;moduleId=folders" TargetMode="External"/><Relationship Id="rId36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w80VieTjS7WsPbcPH8Riqw&amp;viewModel=detail&amp;moduleId=folders" TargetMode="External"/><Relationship Id="rId175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39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174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Gj9Twt3ORp2vP7LSO3iqCw&amp;viewModel=detail&amp;moduleId=folders" TargetMode="External"/><Relationship Id="rId38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VglsQj7rTNKYvkvvXPeiIg&amp;viewModel=detail&amp;moduleId=folders" TargetMode="External"/><Relationship Id="rId173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179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178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-NYQ2g8ETf270SZucrdOwQ&amp;viewModel=detail&amp;moduleId=folders" TargetMode="External"/><Relationship Id="rId177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0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H-slY2BjQJu3XQM2QOyh2w&amp;viewModel=detail&amp;moduleId=folders" TargetMode="External"/><Relationship Id="rId22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a5OopMI2RiCMbQc4KHjWvw&amp;viewModel=detail&amp;moduleId=folders" TargetMode="External"/><Relationship Id="rId21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24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W13X_Q7hT0KZX9KEoK-XuA&amp;viewModel=detail&amp;moduleId=folders" TargetMode="External"/><Relationship Id="rId23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26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7HtFpoLUSka7iY0KCStDEA&amp;viewModel=detail&amp;moduleId=folders" TargetMode="External"/><Relationship Id="rId25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28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HSPnZkDsRDeDpQP83r1-gA&amp;viewModel=detail&amp;moduleId=folders" TargetMode="External"/><Relationship Id="rId27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29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1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0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Mz8ZtHQNQKuvfz3Nztr6Iw&amp;viewModel=detail&amp;moduleId=folders" TargetMode="External"/><Relationship Id="rId13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2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oFTjdiAqT16XhSU0YRjgUA&amp;viewModel=detail&amp;moduleId=folders" TargetMode="External"/><Relationship Id="rId15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98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RTpKFtCKS_S1HCO3aUz7zw&amp;viewModel=detail&amp;moduleId=folders" TargetMode="External"/><Relationship Id="rId14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3GP61XhUS4as-WZixBoOhw&amp;viewModel=detail&amp;moduleId=folders" TargetMode="External"/><Relationship Id="rId197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17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96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nZ6wz4CgQnSygRo-pebi_Q&amp;viewModel=detail&amp;moduleId=folders" TargetMode="External"/><Relationship Id="rId16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bTTdRgv4T4OHoOutEMXsxw&amp;viewModel=detail&amp;moduleId=folders" TargetMode="External"/><Relationship Id="rId195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19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8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pf8sz-vcRMmI8MBRqPajzg&amp;viewModel=detail&amp;moduleId=folders" TargetMode="External"/><Relationship Id="rId199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84" Type="http://schemas.openxmlformats.org/officeDocument/2006/relationships/hyperlink" Target="https://acc.autodesk.com/docs/files/projects/1e597176-a716-43f8-be36-fdbb47ecdee5?folderUrn=urn:adsk.wipprod:fs.folder:co.oWsagAilStq0wo4hThaDsw&amp;entityId=urn:adsk.wipprod:dm.lineage:UMK5wVIlQHGKfwUmZ5PXwQ&amp;viewModel=detail&amp;moduleId=folders" TargetMode="External"/><Relationship Id="rId83" Type="http://schemas.openxmlformats.org/officeDocument/2006/relationships/hyperlink" Target="https://acc.autodesk.com/docs/files/projects/1e597176-a716-43f8-be36-fdbb47ecdee5?folderUrn=urn:adsk.wipprod:fs.folder:co.oWsagAilStq0wo4hThaDsw" TargetMode="External"/><Relationship Id="rId86" Type="http://schemas.openxmlformats.org/officeDocument/2006/relationships/hyperlink" Target="https://acc.autodesk.com/docs/files/projects/1e597176-a716-43f8-be36-fdbb47ecdee5?folderUrn=urn:adsk.wipprod:fs.folder:co.0X3VkD07TZKRc7zUk_8boQ&amp;entityId=urn:adsk.wipprod:dm.lineage:iaNqHzakTPm7D-4sRqBqyg&amp;viewModel=detail&amp;moduleId=folders" TargetMode="External"/><Relationship Id="rId85" Type="http://schemas.openxmlformats.org/officeDocument/2006/relationships/hyperlink" Target="https://acc.autodesk.com/docs/files/projects/1e597176-a716-43f8-be36-fdbb47ecdee5?folderUrn=urn:adsk.wipprod:fs.folder:co.0X3VkD07TZKRc7zUk_8boQ" TargetMode="External"/><Relationship Id="rId88" Type="http://schemas.openxmlformats.org/officeDocument/2006/relationships/hyperlink" Target="https://acc.autodesk.com/docs/files/projects/1e597176-a716-43f8-be36-fdbb47ecdee5?folderUrn=urn:adsk.wipprod:fs.folder:co.0X3VkD07TZKRc7zUk_8boQ&amp;entityId=urn:adsk.wipprod:dm.lineage:nT2sd-T3S2-fLUypI6FCSQ&amp;viewModel=detail&amp;moduleId=folders" TargetMode="External"/><Relationship Id="rId150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qAynN9NkQ5i4q9rD2AeJRw&amp;viewModel=detail&amp;moduleId=folders" TargetMode="External"/><Relationship Id="rId271" Type="http://schemas.openxmlformats.org/officeDocument/2006/relationships/hyperlink" Target="https://acc.autodesk.com/docs/files/projects/1e597176-a716-43f8-be36-fdbb47ecdee5?folderUrn=urn:adsk.wipprod:fs.folder:co.QLkOGekBQd-Z3DKL7vJ7rA" TargetMode="External"/><Relationship Id="rId87" Type="http://schemas.openxmlformats.org/officeDocument/2006/relationships/hyperlink" Target="https://acc.autodesk.com/docs/files/projects/1e597176-a716-43f8-be36-fdbb47ecdee5?folderUrn=urn:adsk.wipprod:fs.folder:co.0X3VkD07TZKRc7zUk_8boQ" TargetMode="External"/><Relationship Id="rId270" Type="http://schemas.openxmlformats.org/officeDocument/2006/relationships/hyperlink" Target="https://acc.autodesk.com/docs/files/projects/1e597176-a716-43f8-be36-fdbb47ecdee5?folderUrn=urn:adsk.wipprod:fs.folder:co.QLkOGekBQd-Z3DKL7vJ7rA&amp;entityId=urn:adsk.wipprod:dm.lineage:yX8yZMRYQqSCSxu2IkvFDA&amp;viewModel=detail&amp;moduleId=folders" TargetMode="External"/><Relationship Id="rId89" Type="http://schemas.openxmlformats.org/officeDocument/2006/relationships/hyperlink" Target="https://acc.autodesk.com/docs/files/projects/1e597176-a716-43f8-be36-fdbb47ecdee5?folderUrn=urn:adsk.wipprod:fs.folder:co.0X3VkD07TZKRc7zUk_8boQ" TargetMode="External"/><Relationship Id="rId80" Type="http://schemas.openxmlformats.org/officeDocument/2006/relationships/hyperlink" Target="https://acc.autodesk.com/docs/files/projects/1e597176-a716-43f8-be36-fdbb47ecdee5?folderUrn=urn:adsk.wipprod:fs.folder:co.oWsagAilStq0wo4hThaDsw&amp;entityId=urn:adsk.wipprod:dm.lineage:bzLd2_x-QlKAkTU33Wcd8Q&amp;viewModel=detail&amp;moduleId=folders" TargetMode="External"/><Relationship Id="rId82" Type="http://schemas.openxmlformats.org/officeDocument/2006/relationships/hyperlink" Target="https://acc.autodesk.com/docs/files/projects/1e597176-a716-43f8-be36-fdbb47ecdee5?folderUrn=urn:adsk.wipprod:fs.folder:co.oWsagAilStq0wo4hThaDsw&amp;entityId=urn:adsk.wipprod:dm.lineage:9z8Gs1k3S0incbnGJh1ccw&amp;viewModel=detail&amp;moduleId=folders" TargetMode="External"/><Relationship Id="rId81" Type="http://schemas.openxmlformats.org/officeDocument/2006/relationships/hyperlink" Target="https://acc.autodesk.com/docs/files/projects/1e597176-a716-43f8-be36-fdbb47ecdee5?folderUrn=urn:adsk.wipprod:fs.folder:co.oWsagAilStq0wo4hThaDsw" TargetMode="External"/><Relationship Id="rId1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2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dEKrkxYgQtKLK51l7JV6Vw&amp;viewModel=detail&amp;moduleId=folders" TargetMode="External"/><Relationship Id="rId3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49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4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U89GSpqlTi2oObYYmVnJgA&amp;viewModel=detail&amp;moduleId=folders" TargetMode="External"/><Relationship Id="rId148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SpyrSBWgSgi5eDnYCnbouQ&amp;viewModel=detail&amp;moduleId=folders" TargetMode="External"/><Relationship Id="rId269" Type="http://schemas.openxmlformats.org/officeDocument/2006/relationships/hyperlink" Target="https://acc.autodesk.com/docs/files/projects/1e597176-a716-43f8-be36-fdbb47ecdee5?folderUrn=urn:adsk.wipprod:fs.folder:co.QLkOGekBQd-Z3DKL7vJ7rA" TargetMode="External"/><Relationship Id="rId9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43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64" Type="http://schemas.openxmlformats.org/officeDocument/2006/relationships/hyperlink" Target="https://acc.autodesk.com/docs/files/projects/1e597176-a716-43f8-be36-fdbb47ecdee5?folderUrn=urn:adsk.wipprod:fs.folder:co.buNCOFH5SiOErzY0MBySjg&amp;entityId=urn:adsk.wipprod:dm.lineage:XIwyGTShTzSCcKEuWaOVyw&amp;viewModel=detail&amp;moduleId=folders" TargetMode="External"/><Relationship Id="rId142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6hMvYcHBSfeDtPlwG7VJJQ&amp;viewModel=detail&amp;moduleId=folders" TargetMode="External"/><Relationship Id="rId263" Type="http://schemas.openxmlformats.org/officeDocument/2006/relationships/hyperlink" Target="https://acc.autodesk.com/docs/files/projects/1e597176-a716-43f8-be36-fdbb47ecdee5?folderUrn=urn:adsk.wipprod:fs.folder:co.buNCOFH5SiOErzY0MBySjg" TargetMode="External"/><Relationship Id="rId141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62" Type="http://schemas.openxmlformats.org/officeDocument/2006/relationships/hyperlink" Target="https://acc.autodesk.com/docs/files/projects/1e597176-a716-43f8-be36-fdbb47ecdee5?folderUrn=urn:adsk.wipprod:fs.folder:co.buNCOFH5SiOErzY0MBySjg&amp;entityId=urn:adsk.wipprod:dm.lineage:KrIxkdQcS4mm2SlQPCRVcw&amp;viewModel=detail&amp;moduleId=folders" TargetMode="External"/><Relationship Id="rId140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r6l5NOfBTtiaZMhRQQ2Jdg&amp;viewModel=detail&amp;moduleId=folders" TargetMode="External"/><Relationship Id="rId261" Type="http://schemas.openxmlformats.org/officeDocument/2006/relationships/hyperlink" Target="https://acc.autodesk.com/docs/files/projects/1e597176-a716-43f8-be36-fdbb47ecdee5?folderUrn=urn:adsk.wipprod:fs.folder:co.buNCOFH5SiOErzY0MBySjg" TargetMode="External"/><Relationship Id="rId5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47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68" Type="http://schemas.openxmlformats.org/officeDocument/2006/relationships/hyperlink" Target="https://acc.autodesk.com/docs/files/projects/1e597176-a716-43f8-be36-fdbb47ecdee5?folderUrn=urn:adsk.wipprod:fs.folder:co.QLkOGekBQd-Z3DKL7vJ7rA&amp;entityId=urn:adsk.wipprod:dm.lineage:YxIT6sVbQku57Di0y1vj6w&amp;viewModel=detail&amp;moduleId=folders" TargetMode="External"/><Relationship Id="rId6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D19iU1rySQ-8My6g0r4GUQ&amp;viewModel=detail&amp;moduleId=folders" TargetMode="External"/><Relationship Id="rId146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JkeZ29PKRoaQyFJ_y2tcyQ&amp;viewModel=detail&amp;moduleId=folders" TargetMode="External"/><Relationship Id="rId267" Type="http://schemas.openxmlformats.org/officeDocument/2006/relationships/hyperlink" Target="https://acc.autodesk.com/docs/files/projects/1e597176-a716-43f8-be36-fdbb47ecdee5?folderUrn=urn:adsk.wipprod:fs.folder:co.QLkOGekBQd-Z3DKL7vJ7rA" TargetMode="External"/><Relationship Id="rId7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45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66" Type="http://schemas.openxmlformats.org/officeDocument/2006/relationships/hyperlink" Target="https://acc.autodesk.com/docs/files/projects/1e597176-a716-43f8-be36-fdbb47ecdee5?folderUrn=urn:adsk.wipprod:fs.folder:co.buNCOFH5SiOErzY0MBySjg&amp;entityId=urn:adsk.wipprod:dm.lineage:CugNBAlHQXG50sdeqQXBcQ&amp;viewModel=detail&amp;moduleId=folders" TargetMode="External"/><Relationship Id="rId8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6MHn-qyLQbOCP9j1vAvLAg&amp;viewModel=detail&amp;moduleId=folders" TargetMode="External"/><Relationship Id="rId144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QoWUzB7DTLSWW9KOtwHRKA&amp;viewModel=detail&amp;moduleId=folders" TargetMode="External"/><Relationship Id="rId265" Type="http://schemas.openxmlformats.org/officeDocument/2006/relationships/hyperlink" Target="https://acc.autodesk.com/docs/files/projects/1e597176-a716-43f8-be36-fdbb47ecdee5?folderUrn=urn:adsk.wipprod:fs.folder:co.buNCOFH5SiOErzY0MBySjg" TargetMode="External"/><Relationship Id="rId73" Type="http://schemas.openxmlformats.org/officeDocument/2006/relationships/hyperlink" Target="https://acc.autodesk.com/docs/files/projects/1e597176-a716-43f8-be36-fdbb47ecdee5?folderUrn=urn:adsk.wipprod:fs.folder:co.mbcFb3jpSt2paO6NfxsIwg" TargetMode="External"/><Relationship Id="rId72" Type="http://schemas.openxmlformats.org/officeDocument/2006/relationships/hyperlink" Target="https://acc.autodesk.com/docs/files/projects/1e597176-a716-43f8-be36-fdbb47ecdee5?folderUrn=urn:adsk.wipprod:fs.folder:co.mbcFb3jpSt2paO6NfxsIwg&amp;entityId=urn:adsk.wipprod:dm.lineage:7_LoN08YSGenp6huLt-p6Q&amp;viewModel=detail&amp;moduleId=folders" TargetMode="External"/><Relationship Id="rId75" Type="http://schemas.openxmlformats.org/officeDocument/2006/relationships/hyperlink" Target="https://acc.autodesk.com/docs/files/projects/1e597176-a716-43f8-be36-fdbb47ecdee5?folderUrn=urn:adsk.wipprod:fs.folder:co.mbcFb3jpSt2paO6NfxsIwg" TargetMode="External"/><Relationship Id="rId74" Type="http://schemas.openxmlformats.org/officeDocument/2006/relationships/hyperlink" Target="https://acc.autodesk.com/docs/files/projects/1e597176-a716-43f8-be36-fdbb47ecdee5?folderUrn=urn:adsk.wipprod:fs.folder:co.mbcFb3jpSt2paO6NfxsIwg&amp;entityId=urn:adsk.wipprod:dm.lineage:z8RNRZlLQl2cV0vYhIlUUg&amp;viewModel=detail&amp;moduleId=folders" TargetMode="External"/><Relationship Id="rId77" Type="http://schemas.openxmlformats.org/officeDocument/2006/relationships/hyperlink" Target="https://acc.autodesk.com/docs/files/projects/1e597176-a716-43f8-be36-fdbb47ecdee5?folderUrn=urn:adsk.wipprod:fs.folder:co.oWsagAilStq0wo4hThaDsw" TargetMode="External"/><Relationship Id="rId260" Type="http://schemas.openxmlformats.org/officeDocument/2006/relationships/hyperlink" Target="https://acc.autodesk.com/docs/files/projects/1e597176-a716-43f8-be36-fdbb47ecdee5?folderUrn=urn:adsk.wipprod:fs.folder:co.buNCOFH5SiOErzY0MBySjg&amp;entityId=urn:adsk.wipprod:dm.lineage:vuSMdqxBQOS7zDSDZXfnmA&amp;viewModel=detail&amp;moduleId=folders" TargetMode="External"/><Relationship Id="rId76" Type="http://schemas.openxmlformats.org/officeDocument/2006/relationships/hyperlink" Target="https://acc.autodesk.com/docs/files/projects/1e597176-a716-43f8-be36-fdbb47ecdee5?folderUrn=urn:adsk.wipprod:fs.folder:co.mbcFb3jpSt2paO6NfxsIwg&amp;entityId=urn:adsk.wipprod:dm.lineage:J94wfGeFSjiggVdlBi1AtQ&amp;viewModel=detail&amp;moduleId=folders" TargetMode="External"/><Relationship Id="rId79" Type="http://schemas.openxmlformats.org/officeDocument/2006/relationships/hyperlink" Target="https://acc.autodesk.com/docs/files/projects/1e597176-a716-43f8-be36-fdbb47ecdee5?folderUrn=urn:adsk.wipprod:fs.folder:co.oWsagAilStq0wo4hThaDsw" TargetMode="External"/><Relationship Id="rId78" Type="http://schemas.openxmlformats.org/officeDocument/2006/relationships/hyperlink" Target="https://acc.autodesk.com/docs/files/projects/1e597176-a716-43f8-be36-fdbb47ecdee5?folderUrn=urn:adsk.wipprod:fs.folder:co.oWsagAilStq0wo4hThaDsw&amp;entityId=urn:adsk.wipprod:dm.lineage:U66oo3fhQBeaH-q0oazuww&amp;viewModel=detail&amp;moduleId=folders" TargetMode="External"/><Relationship Id="rId71" Type="http://schemas.openxmlformats.org/officeDocument/2006/relationships/hyperlink" Target="https://acc.autodesk.com/docs/files/projects/1e597176-a716-43f8-be36-fdbb47ecdee5?folderUrn=urn:adsk.wipprod:fs.folder:co.mbcFb3jpSt2paO6NfxsIwg" TargetMode="External"/><Relationship Id="rId70" Type="http://schemas.openxmlformats.org/officeDocument/2006/relationships/hyperlink" Target="https://acc.autodesk.com/docs/files/projects/1e597176-a716-43f8-be36-fdbb47ecdee5?folderUrn=urn:adsk.wipprod:fs.folder:co.mbcFb3jpSt2paO6NfxsIwg&amp;entityId=urn:adsk.wipprod:dm.lineage:5_Ls1sLNT5u9wFO6ImhGIg&amp;viewModel=detail&amp;moduleId=folders" TargetMode="External"/><Relationship Id="rId139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138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9afx8OW4SRKpeKhAiICnqQ&amp;viewModel=detail&amp;moduleId=folders" TargetMode="External"/><Relationship Id="rId259" Type="http://schemas.openxmlformats.org/officeDocument/2006/relationships/hyperlink" Target="https://acc.autodesk.com/docs/files/projects/1e597176-a716-43f8-be36-fdbb47ecdee5?folderUrn=urn:adsk.wipprod:fs.folder:co.buNCOFH5SiOErzY0MBySjg" TargetMode="External"/><Relationship Id="rId137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58" Type="http://schemas.openxmlformats.org/officeDocument/2006/relationships/hyperlink" Target="https://acc.autodesk.com/docs/files/projects/1e597176-a716-43f8-be36-fdbb47ecdee5?folderUrn=urn:adsk.wipprod:fs.folder:co.buNCOFH5SiOErzY0MBySjg&amp;entityId=urn:adsk.wipprod:dm.lineage:gf-goe6vRvyjgcg6jv5FOw&amp;viewModel=detail&amp;moduleId=folders" TargetMode="External"/><Relationship Id="rId132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_KPytN09T8OQyGQQFz-UvA&amp;viewModel=detail&amp;moduleId=folders" TargetMode="External"/><Relationship Id="rId253" Type="http://schemas.openxmlformats.org/officeDocument/2006/relationships/hyperlink" Target="https://acc.autodesk.com/docs/files/projects/1e597176-a716-43f8-be36-fdbb47ecdee5?folderUrn=urn:adsk.wipprod:fs.folder:co.buNCOFH5SiOErzY0MBySjg" TargetMode="External"/><Relationship Id="rId131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52" Type="http://schemas.openxmlformats.org/officeDocument/2006/relationships/hyperlink" Target="https://acc.autodesk.com/docs/files/projects/1e597176-a716-43f8-be36-fdbb47ecdee5?folderUrn=urn:adsk.wipprod:fs.folder:co.buNCOFH5SiOErzY0MBySjg&amp;entityId=urn:adsk.wipprod:dm.lineage:BwmEKuVDSjquD4-Dg7kRvA&amp;viewModel=detail&amp;moduleId=folders" TargetMode="External"/><Relationship Id="rId130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wXIwpKLWSNOUyq-jjldNkQ&amp;viewModel=detail&amp;moduleId=folders" TargetMode="External"/><Relationship Id="rId251" Type="http://schemas.openxmlformats.org/officeDocument/2006/relationships/hyperlink" Target="https://acc.autodesk.com/docs/files/projects/1e597176-a716-43f8-be36-fdbb47ecdee5?folderUrn=urn:adsk.wipprod:fs.folder:co.buNCOFH5SiOErzY0MBySjg" TargetMode="External"/><Relationship Id="rId250" Type="http://schemas.openxmlformats.org/officeDocument/2006/relationships/hyperlink" Target="https://acc.autodesk.com/docs/files/projects/1e597176-a716-43f8-be36-fdbb47ecdee5?folderUrn=urn:adsk.wipprod:fs.folder:co.buNCOFH5SiOErzY0MBySjg&amp;entityId=urn:adsk.wipprod:dm.lineage:0YjuJhinRBme3c77uKsGQg&amp;viewModel=detail&amp;moduleId=folders" TargetMode="External"/><Relationship Id="rId136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U8cBJ2O-T42xywq17eou2Q&amp;viewModel=detail&amp;moduleId=folders" TargetMode="External"/><Relationship Id="rId257" Type="http://schemas.openxmlformats.org/officeDocument/2006/relationships/hyperlink" Target="https://acc.autodesk.com/docs/files/projects/1e597176-a716-43f8-be36-fdbb47ecdee5?folderUrn=urn:adsk.wipprod:fs.folder:co.buNCOFH5SiOErzY0MBySjg" TargetMode="External"/><Relationship Id="rId135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56" Type="http://schemas.openxmlformats.org/officeDocument/2006/relationships/hyperlink" Target="https://acc.autodesk.com/docs/files/projects/1e597176-a716-43f8-be36-fdbb47ecdee5?folderUrn=urn:adsk.wipprod:fs.folder:co.buNCOFH5SiOErzY0MBySjg&amp;entityId=urn:adsk.wipprod:dm.lineage:UqvpoGjITnKnSa-oNO8-JQ&amp;viewModel=detail&amp;moduleId=folders" TargetMode="External"/><Relationship Id="rId134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KLGRnD8UTZ2kWT73b7Rw5w&amp;viewModel=detail&amp;moduleId=folders" TargetMode="External"/><Relationship Id="rId255" Type="http://schemas.openxmlformats.org/officeDocument/2006/relationships/hyperlink" Target="https://acc.autodesk.com/docs/files/projects/1e597176-a716-43f8-be36-fdbb47ecdee5?folderUrn=urn:adsk.wipprod:fs.folder:co.buNCOFH5SiOErzY0MBySjg" TargetMode="External"/><Relationship Id="rId133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54" Type="http://schemas.openxmlformats.org/officeDocument/2006/relationships/hyperlink" Target="https://acc.autodesk.com/docs/files/projects/1e597176-a716-43f8-be36-fdbb47ecdee5?folderUrn=urn:adsk.wipprod:fs.folder:co.buNCOFH5SiOErzY0MBySjg&amp;entityId=urn:adsk.wipprod:dm.lineage:ZZMC0ItXQmGutBjMhMrjuQ&amp;viewModel=detail&amp;moduleId=folders" TargetMode="External"/><Relationship Id="rId62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991UlEFKQgqsVhQ6RoNbkQ&amp;viewModel=detail&amp;moduleId=folders" TargetMode="External"/><Relationship Id="rId61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64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CZSqILePREmAOxS89x6AYw&amp;viewModel=detail&amp;moduleId=folders" TargetMode="External"/><Relationship Id="rId63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66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q_A7T2_ESXmn4fV2MINq9w&amp;viewModel=detail&amp;moduleId=folders" TargetMode="External"/><Relationship Id="rId172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6PEi1SYyRpablm-1xVVHZQ&amp;viewModel=detail&amp;moduleId=folders" TargetMode="External"/><Relationship Id="rId65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171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68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TGIKKK-5Sr6Ub8J9bsvMEw&amp;viewModel=detail&amp;moduleId=folders" TargetMode="External"/><Relationship Id="rId170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Rj8k2qCDTyeygXs1wEEJig&amp;viewModel=detail&amp;moduleId=folders" TargetMode="External"/><Relationship Id="rId291" Type="http://schemas.openxmlformats.org/officeDocument/2006/relationships/drawing" Target="../drawings/drawing3.xml"/><Relationship Id="rId67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290" Type="http://schemas.openxmlformats.org/officeDocument/2006/relationships/hyperlink" Target="https://acc.autodesk.com/docs/files/projects/1e597176-a716-43f8-be36-fdbb47ecdee5?folderUrn=urn:adsk.wipprod:fs.folder:co.SJ1pF7iTTXCszwGtIaqqzA&amp;entityId=urn:adsk.wipprod:dm.lineage:sPNkeeUgR-2oZK3VfZAyVg&amp;viewModel=detail&amp;moduleId=folders" TargetMode="External"/><Relationship Id="rId60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UspG8TLXQVyImfIAnMrJtQ&amp;viewModel=detail&amp;moduleId=folders" TargetMode="External"/><Relationship Id="rId165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86" Type="http://schemas.openxmlformats.org/officeDocument/2006/relationships/hyperlink" Target="https://acc.autodesk.com/docs/files/projects/1e597176-a716-43f8-be36-fdbb47ecdee5?folderUrn=urn:adsk.wipprod:fs.folder:co.SJ1pF7iTTXCszwGtIaqqzA&amp;entityId=urn:adsk.wipprod:dm.lineage:sWHtp09gQSOX7YEB6SDTow&amp;viewModel=detail&amp;moduleId=folders" TargetMode="External"/><Relationship Id="rId69" Type="http://schemas.openxmlformats.org/officeDocument/2006/relationships/hyperlink" Target="https://acc.autodesk.com/docs/files/projects/1e597176-a716-43f8-be36-fdbb47ecdee5?folderUrn=urn:adsk.wipprod:fs.folder:co.mbcFb3jpSt2paO6NfxsIwg" TargetMode="External"/><Relationship Id="rId164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_exI8Ud6S7i3TFEEhxYVTw&amp;viewModel=detail&amp;moduleId=folders" TargetMode="External"/><Relationship Id="rId285" Type="http://schemas.openxmlformats.org/officeDocument/2006/relationships/hyperlink" Target="https://acc.autodesk.com/docs/files/projects/1e597176-a716-43f8-be36-fdbb47ecdee5?folderUrn=urn:adsk.wipprod:fs.folder:co.SJ1pF7iTTXCszwGtIaqqzA" TargetMode="External"/><Relationship Id="rId163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84" Type="http://schemas.openxmlformats.org/officeDocument/2006/relationships/hyperlink" Target="https://acc.autodesk.com/docs/files/projects/1e597176-a716-43f8-be36-fdbb47ecdee5?folderUrn=urn:adsk.wipprod:fs.folder:co.SJ1pF7iTTXCszwGtIaqqzA&amp;entityId=urn:adsk.wipprod:dm.lineage:cXryBjXFRHK2WTPRzQRe_Q&amp;viewModel=detail&amp;moduleId=folders" TargetMode="External"/><Relationship Id="rId162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_QGNC3vHT6yGKge_2tvKVA&amp;viewModel=detail&amp;moduleId=folders" TargetMode="External"/><Relationship Id="rId283" Type="http://schemas.openxmlformats.org/officeDocument/2006/relationships/hyperlink" Target="https://acc.autodesk.com/docs/files/projects/1e597176-a716-43f8-be36-fdbb47ecdee5?folderUrn=urn:adsk.wipprod:fs.folder:co.SJ1pF7iTTXCszwGtIaqqzA" TargetMode="External"/><Relationship Id="rId169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168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TQOj4SmeRuu26j5-IknJTw&amp;viewModel=detail&amp;moduleId=folders" TargetMode="External"/><Relationship Id="rId289" Type="http://schemas.openxmlformats.org/officeDocument/2006/relationships/hyperlink" Target="https://acc.autodesk.com/docs/files/projects/1e597176-a716-43f8-be36-fdbb47ecdee5?folderUrn=urn:adsk.wipprod:fs.folder:co.SJ1pF7iTTXCszwGtIaqqzA" TargetMode="External"/><Relationship Id="rId167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88" Type="http://schemas.openxmlformats.org/officeDocument/2006/relationships/hyperlink" Target="https://acc.autodesk.com/docs/files/projects/1e597176-a716-43f8-be36-fdbb47ecdee5?folderUrn=urn:adsk.wipprod:fs.folder:co.SJ1pF7iTTXCszwGtIaqqzA&amp;entityId=urn:adsk.wipprod:dm.lineage:hLhp9avAQ4mdlS3ZKY2a9w&amp;viewModel=detail&amp;moduleId=folders" TargetMode="External"/><Relationship Id="rId166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YwKTj3ZtRnmh89c3O8kzLw&amp;viewModel=detail&amp;moduleId=folders" TargetMode="External"/><Relationship Id="rId287" Type="http://schemas.openxmlformats.org/officeDocument/2006/relationships/hyperlink" Target="https://acc.autodesk.com/docs/files/projects/1e597176-a716-43f8-be36-fdbb47ecdee5?folderUrn=urn:adsk.wipprod:fs.folder:co.SJ1pF7iTTXCszwGtIaqqzA" TargetMode="External"/><Relationship Id="rId51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50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rzS9WeBDSdaDZAA-sNi6lg&amp;viewModel=detail&amp;moduleId=folders" TargetMode="External"/><Relationship Id="rId53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52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sPQpEwVRRbS4OZ2PcOiO1g&amp;viewModel=detail&amp;moduleId=folders" TargetMode="External"/><Relationship Id="rId55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161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82" Type="http://schemas.openxmlformats.org/officeDocument/2006/relationships/hyperlink" Target="https://acc.autodesk.com/docs/files/projects/1e597176-a716-43f8-be36-fdbb47ecdee5?folderUrn=urn:adsk.wipprod:fs.folder:co.SJ1pF7iTTXCszwGtIaqqzA&amp;entityId=urn:adsk.wipprod:dm.lineage:hU7tttJjSxOgyWFiBLw3aA&amp;viewModel=detail&amp;moduleId=folders" TargetMode="External"/><Relationship Id="rId54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b_a70xNcShK7XbvABTJSiQ&amp;viewModel=detail&amp;moduleId=folders" TargetMode="External"/><Relationship Id="rId160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xtWy0cgaT6ydXqrspBPRLQ&amp;viewModel=detail&amp;moduleId=folders" TargetMode="External"/><Relationship Id="rId281" Type="http://schemas.openxmlformats.org/officeDocument/2006/relationships/hyperlink" Target="https://acc.autodesk.com/docs/files/projects/1e597176-a716-43f8-be36-fdbb47ecdee5?folderUrn=urn:adsk.wipprod:fs.folder:co.SJ1pF7iTTXCszwGtIaqqzA" TargetMode="External"/><Relationship Id="rId57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280" Type="http://schemas.openxmlformats.org/officeDocument/2006/relationships/hyperlink" Target="https://acc.autodesk.com/docs/files/projects/1e597176-a716-43f8-be36-fdbb47ecdee5?folderUrn=urn:adsk.wipprod:fs.folder:co.SJ1pF7iTTXCszwGtIaqqzA&amp;entityId=urn:adsk.wipprod:dm.lineage:ZmEj3_HvSYWEGNwPB7s_rw&amp;viewModel=detail&amp;moduleId=folders" TargetMode="External"/><Relationship Id="rId56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l7cQd4QoQg-HHzGJGV3tLw&amp;viewModel=detail&amp;moduleId=folders" TargetMode="External"/><Relationship Id="rId159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59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154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2hsM-SkSQhCdCNrS_8vGwA&amp;viewModel=detail&amp;moduleId=folders" TargetMode="External"/><Relationship Id="rId275" Type="http://schemas.openxmlformats.org/officeDocument/2006/relationships/hyperlink" Target="https://acc.autodesk.com/docs/files/projects/1e597176-a716-43f8-be36-fdbb47ecdee5?folderUrn=urn:adsk.wipprod:fs.folder:co.QLkOGekBQd-Z3DKL7vJ7rA" TargetMode="External"/><Relationship Id="rId58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J48SvwMsSjS9MRHv8s4WDw&amp;viewModel=detail&amp;moduleId=folders" TargetMode="External"/><Relationship Id="rId153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74" Type="http://schemas.openxmlformats.org/officeDocument/2006/relationships/hyperlink" Target="https://acc.autodesk.com/docs/files/projects/1e597176-a716-43f8-be36-fdbb47ecdee5?folderUrn=urn:adsk.wipprod:fs.folder:co.QLkOGekBQd-Z3DKL7vJ7rA&amp;entityId=urn:adsk.wipprod:dm.lineage:y0thA9DOTH-iJrJN3RAczw&amp;viewModel=detail&amp;moduleId=folders" TargetMode="External"/><Relationship Id="rId152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a2enjRYWRPmfFSSt4qDuwQ&amp;viewModel=detail&amp;moduleId=folders" TargetMode="External"/><Relationship Id="rId273" Type="http://schemas.openxmlformats.org/officeDocument/2006/relationships/hyperlink" Target="https://acc.autodesk.com/docs/files/projects/1e597176-a716-43f8-be36-fdbb47ecdee5?folderUrn=urn:adsk.wipprod:fs.folder:co.QLkOGekBQd-Z3DKL7vJ7rA" TargetMode="External"/><Relationship Id="rId151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72" Type="http://schemas.openxmlformats.org/officeDocument/2006/relationships/hyperlink" Target="https://acc.autodesk.com/docs/files/projects/1e597176-a716-43f8-be36-fdbb47ecdee5?folderUrn=urn:adsk.wipprod:fs.folder:co.QLkOGekBQd-Z3DKL7vJ7rA&amp;entityId=urn:adsk.wipprod:dm.lineage:O9EwDomXSpGci7iq8A-xmQ&amp;viewModel=detail&amp;moduleId=folders" TargetMode="External"/><Relationship Id="rId158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wSVQT3-wR8e-tS0OfVrXNQ&amp;viewModel=detail&amp;moduleId=folders" TargetMode="External"/><Relationship Id="rId279" Type="http://schemas.openxmlformats.org/officeDocument/2006/relationships/hyperlink" Target="https://acc.autodesk.com/docs/files/projects/1e597176-a716-43f8-be36-fdbb47ecdee5?folderUrn=urn:adsk.wipprod:fs.folder:co.SJ1pF7iTTXCszwGtIaqqzA" TargetMode="External"/><Relationship Id="rId157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78" Type="http://schemas.openxmlformats.org/officeDocument/2006/relationships/hyperlink" Target="https://acc.autodesk.com/docs/files/projects/1e597176-a716-43f8-be36-fdbb47ecdee5?folderUrn=urn:adsk.wipprod:fs.folder:co.QLkOGekBQd-Z3DKL7vJ7rA&amp;entityId=urn:adsk.wipprod:dm.lineage:m7x4IrtcSqGwf2uhji1fYA&amp;viewModel=detail&amp;moduleId=folders" TargetMode="External"/><Relationship Id="rId156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9cdazHpeRlWU75qcAh8E1Q&amp;viewModel=detail&amp;moduleId=folders" TargetMode="External"/><Relationship Id="rId277" Type="http://schemas.openxmlformats.org/officeDocument/2006/relationships/hyperlink" Target="https://acc.autodesk.com/docs/files/projects/1e597176-a716-43f8-be36-fdbb47ecdee5?folderUrn=urn:adsk.wipprod:fs.folder:co.QLkOGekBQd-Z3DKL7vJ7rA" TargetMode="External"/><Relationship Id="rId155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76" Type="http://schemas.openxmlformats.org/officeDocument/2006/relationships/hyperlink" Target="https://acc.autodesk.com/docs/files/projects/1e597176-a716-43f8-be36-fdbb47ecdee5?folderUrn=urn:adsk.wipprod:fs.folder:co.QLkOGekBQd-Z3DKL7vJ7rA&amp;entityId=urn:adsk.wipprod:dm.lineage:0laE8UlET8CRb7HZyS2wfA&amp;viewModel=detail&amp;moduleId=folders" TargetMode="External"/><Relationship Id="rId107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28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-SnLWHplR5eH2EBv74xBBw&amp;viewModel=detail&amp;moduleId=folders" TargetMode="External"/><Relationship Id="rId106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ilDDsRKIRuScYSLudPi9og&amp;viewModel=detail&amp;moduleId=folders" TargetMode="External"/><Relationship Id="rId227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105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26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dDhtCyjRS76iTatQ2jFVgA&amp;viewModel=detail&amp;moduleId=folders" TargetMode="External"/><Relationship Id="rId104" Type="http://schemas.openxmlformats.org/officeDocument/2006/relationships/hyperlink" Target="https://acc.autodesk.com/docs/files/projects/1e597176-a716-43f8-be36-fdbb47ecdee5?folderUrn=urn:adsk.wipprod:fs.folder:co.-UKdTAW-SqygJE_069OSDA&amp;entityId=urn:adsk.wipprod:dm.lineage:ip7zsrf1T6ycXXXQ3rExbg&amp;viewModel=detail&amp;moduleId=folders" TargetMode="External"/><Relationship Id="rId225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109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108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xPzTfonQR0-E8bY6mXdqwQ&amp;viewModel=detail&amp;moduleId=folders" TargetMode="External"/><Relationship Id="rId229" Type="http://schemas.openxmlformats.org/officeDocument/2006/relationships/hyperlink" Target="https://acc.autodesk.com/docs/files/projects/1e597176-a716-43f8-be36-fdbb47ecdee5?folderUrn=urn:adsk.wipprod:fs.folder:co.AJlWibkVQ-q2t3pEX67Fow" TargetMode="External"/><Relationship Id="rId220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nWoDi4D0RmeE967MXTo9BQ&amp;viewModel=detail&amp;moduleId=folders" TargetMode="External"/><Relationship Id="rId103" Type="http://schemas.openxmlformats.org/officeDocument/2006/relationships/hyperlink" Target="https://acc.autodesk.com/docs/files/projects/1e597176-a716-43f8-be36-fdbb47ecdee5?folderUrn=urn:adsk.wipprod:fs.folder:co.-UKdTAW-SqygJE_069OSDA" TargetMode="External"/><Relationship Id="rId224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Lrf0uq_HRiWOZmgBTxafVg&amp;viewModel=detail&amp;moduleId=folders" TargetMode="External"/><Relationship Id="rId102" Type="http://schemas.openxmlformats.org/officeDocument/2006/relationships/hyperlink" Target="https://acc.autodesk.com/docs/files/projects/1e597176-a716-43f8-be36-fdbb47ecdee5?folderUrn=urn:adsk.wipprod:fs.folder:co.-UKdTAW-SqygJE_069OSDA&amp;entityId=urn:adsk.wipprod:dm.lineage:aqu1NnxQTEiZxg74feqGHw&amp;viewModel=detail&amp;moduleId=folders" TargetMode="External"/><Relationship Id="rId223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101" Type="http://schemas.openxmlformats.org/officeDocument/2006/relationships/hyperlink" Target="https://acc.autodesk.com/docs/files/projects/1e597176-a716-43f8-be36-fdbb47ecdee5?folderUrn=urn:adsk.wipprod:fs.folder:co.-UKdTAW-SqygJE_069OSDA" TargetMode="External"/><Relationship Id="rId222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bg1G7x4cQr2I7Hum7kat7w&amp;viewModel=detail&amp;moduleId=folders" TargetMode="External"/><Relationship Id="rId100" Type="http://schemas.openxmlformats.org/officeDocument/2006/relationships/hyperlink" Target="https://acc.autodesk.com/docs/files/projects/1e597176-a716-43f8-be36-fdbb47ecdee5?folderUrn=urn:adsk.wipprod:fs.folder:co.-UKdTAW-SqygJE_069OSDA&amp;entityId=urn:adsk.wipprod:dm.lineage:-c6kV_AMQGWR5Z9ouFKWBQ&amp;viewModel=detail&amp;moduleId=folders" TargetMode="External"/><Relationship Id="rId221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17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16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UgD9bH_YRous9mf5REm8Fg&amp;viewModel=detail&amp;moduleId=folders" TargetMode="External"/><Relationship Id="rId215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14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QIqydjF7RYSpxJllpjtytg&amp;viewModel=detail&amp;moduleId=folders" TargetMode="External"/><Relationship Id="rId219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18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JVgAKMo0Q3C73fgg6AGOgA&amp;viewModel=detail&amp;moduleId=folders" TargetMode="External"/><Relationship Id="rId213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12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Y9OubMOfQKKXFEKFcxPhMg&amp;viewModel=detail&amp;moduleId=folders" TargetMode="External"/><Relationship Id="rId211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10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ybeAaNxdQe2cccy1zIbitQ&amp;viewModel=detail&amp;moduleId=folders" TargetMode="External"/><Relationship Id="rId129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128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N1pswpvRTS-miKa-tnYXRg&amp;viewModel=detail&amp;moduleId=folders" TargetMode="External"/><Relationship Id="rId249" Type="http://schemas.openxmlformats.org/officeDocument/2006/relationships/hyperlink" Target="https://acc.autodesk.com/docs/files/projects/1e597176-a716-43f8-be36-fdbb47ecdee5?folderUrn=urn:adsk.wipprod:fs.folder:co.buNCOFH5SiOErzY0MBySjg" TargetMode="External"/><Relationship Id="rId127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48" Type="http://schemas.openxmlformats.org/officeDocument/2006/relationships/hyperlink" Target="https://acc.autodesk.com/docs/files/projects/1e597176-a716-43f8-be36-fdbb47ecdee5?folderUrn=urn:adsk.wipprod:fs.folder:co.buNCOFH5SiOErzY0MBySjg&amp;entityId=urn:adsk.wipprod:dm.lineage:OajqPvbdTwCqmxN3qEkddg&amp;viewModel=detail&amp;moduleId=folders" TargetMode="External"/><Relationship Id="rId126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WKvnfvEiRQWq9pHbpl7Q3w&amp;viewModel=detail&amp;moduleId=folders" TargetMode="External"/><Relationship Id="rId247" Type="http://schemas.openxmlformats.org/officeDocument/2006/relationships/hyperlink" Target="https://acc.autodesk.com/docs/files/projects/1e597176-a716-43f8-be36-fdbb47ecdee5?folderUrn=urn:adsk.wipprod:fs.folder:co.buNCOFH5SiOErzY0MBySjg" TargetMode="External"/><Relationship Id="rId121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42" Type="http://schemas.openxmlformats.org/officeDocument/2006/relationships/hyperlink" Target="https://acc.autodesk.com/docs/files/projects/1e597176-a716-43f8-be36-fdbb47ecdee5?folderUrn=urn:adsk.wipprod:fs.folder:co.AJlWibkVQ-q2t3pEX67Fow&amp;entityId=urn:adsk.wipprod:dm.lineage:0wVpfjH1SwKNb2vglmtkPw&amp;viewModel=detail&amp;moduleId=folders" TargetMode="External"/><Relationship Id="rId120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VhzLWU6NS0WxGAGc-Wpk3w&amp;viewModel=detail&amp;moduleId=folders" TargetMode="External"/><Relationship Id="rId241" Type="http://schemas.openxmlformats.org/officeDocument/2006/relationships/hyperlink" Target="https://acc.autodesk.com/docs/files/projects/1e597176-a716-43f8-be36-fdbb47ecdee5?folderUrn=urn:adsk.wipprod:fs.folder:co.AJlWibkVQ-q2t3pEX67Fow" TargetMode="External"/><Relationship Id="rId240" Type="http://schemas.openxmlformats.org/officeDocument/2006/relationships/hyperlink" Target="https://acc.autodesk.com/docs/files/projects/1e597176-a716-43f8-be36-fdbb47ecdee5?folderUrn=urn:adsk.wipprod:fs.folder:co.AJlWibkVQ-q2t3pEX67Fow&amp;entityId=urn:adsk.wipprod:dm.lineage:MsiyB199Ts-Yy2NlSHvqSg&amp;viewModel=detail&amp;moduleId=folders" TargetMode="External"/><Relationship Id="rId125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46" Type="http://schemas.openxmlformats.org/officeDocument/2006/relationships/hyperlink" Target="https://acc.autodesk.com/docs/files/projects/1e597176-a716-43f8-be36-fdbb47ecdee5?folderUrn=urn:adsk.wipprod:fs.folder:co.AJlWibkVQ-q2t3pEX67Fow&amp;entityId=urn:adsk.wipprod:dm.lineage:f-bjrTydQDCVeX9rMSvtnQ&amp;viewModel=detail&amp;moduleId=folders" TargetMode="External"/><Relationship Id="rId124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0rv_qFXrQtqjdqBX-cqQ4w&amp;viewModel=detail&amp;moduleId=folders" TargetMode="External"/><Relationship Id="rId245" Type="http://schemas.openxmlformats.org/officeDocument/2006/relationships/hyperlink" Target="https://acc.autodesk.com/docs/files/projects/1e597176-a716-43f8-be36-fdbb47ecdee5?folderUrn=urn:adsk.wipprod:fs.folder:co.AJlWibkVQ-q2t3pEX67Fow" TargetMode="External"/><Relationship Id="rId123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44" Type="http://schemas.openxmlformats.org/officeDocument/2006/relationships/hyperlink" Target="https://acc.autodesk.com/docs/files/projects/1e597176-a716-43f8-be36-fdbb47ecdee5?folderUrn=urn:adsk.wipprod:fs.folder:co.AJlWibkVQ-q2t3pEX67Fow&amp;entityId=urn:adsk.wipprod:dm.lineage:2DsJCP0AQlqt9Ckb2N9PDw&amp;viewModel=detail&amp;moduleId=folders" TargetMode="External"/><Relationship Id="rId122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Vg2THPGSQWSGkm20JLMI5Q&amp;viewModel=detail&amp;moduleId=folders" TargetMode="External"/><Relationship Id="rId243" Type="http://schemas.openxmlformats.org/officeDocument/2006/relationships/hyperlink" Target="https://acc.autodesk.com/docs/files/projects/1e597176-a716-43f8-be36-fdbb47ecdee5?folderUrn=urn:adsk.wipprod:fs.folder:co.AJlWibkVQ-q2t3pEX67Fow" TargetMode="External"/><Relationship Id="rId95" Type="http://schemas.openxmlformats.org/officeDocument/2006/relationships/hyperlink" Target="https://acc.autodesk.com/docs/files/projects/1e597176-a716-43f8-be36-fdbb47ecdee5?folderUrn=urn:adsk.wipprod:fs.folder:co.-UKdTAW-SqygJE_069OSDA" TargetMode="External"/><Relationship Id="rId94" Type="http://schemas.openxmlformats.org/officeDocument/2006/relationships/hyperlink" Target="https://acc.autodesk.com/docs/files/projects/1e597176-a716-43f8-be36-fdbb47ecdee5?folderUrn=urn:adsk.wipprod:fs.folder:co.0X3VkD07TZKRc7zUk_8boQ&amp;entityId=urn:adsk.wipprod:dm.lineage:JDn9PP2-S36CG2uTveY9qQ&amp;viewModel=detail&amp;moduleId=folders" TargetMode="External"/><Relationship Id="rId97" Type="http://schemas.openxmlformats.org/officeDocument/2006/relationships/hyperlink" Target="https://acc.autodesk.com/docs/files/projects/1e597176-a716-43f8-be36-fdbb47ecdee5?folderUrn=urn:adsk.wipprod:fs.folder:co.-UKdTAW-SqygJE_069OSDA" TargetMode="External"/><Relationship Id="rId96" Type="http://schemas.openxmlformats.org/officeDocument/2006/relationships/hyperlink" Target="https://acc.autodesk.com/docs/files/projects/1e597176-a716-43f8-be36-fdbb47ecdee5?folderUrn=urn:adsk.wipprod:fs.folder:co.-UKdTAW-SqygJE_069OSDA&amp;entityId=urn:adsk.wipprod:dm.lineage:N0RwPUT1Q_mldnujcmL9gw&amp;viewModel=detail&amp;moduleId=folders" TargetMode="External"/><Relationship Id="rId99" Type="http://schemas.openxmlformats.org/officeDocument/2006/relationships/hyperlink" Target="https://acc.autodesk.com/docs/files/projects/1e597176-a716-43f8-be36-fdbb47ecdee5?folderUrn=urn:adsk.wipprod:fs.folder:co.-UKdTAW-SqygJE_069OSDA" TargetMode="External"/><Relationship Id="rId98" Type="http://schemas.openxmlformats.org/officeDocument/2006/relationships/hyperlink" Target="https://acc.autodesk.com/docs/files/projects/1e597176-a716-43f8-be36-fdbb47ecdee5?folderUrn=urn:adsk.wipprod:fs.folder:co.-UKdTAW-SqygJE_069OSDA&amp;entityId=urn:adsk.wipprod:dm.lineage:xmAutLzRTUio8ag3_wabYA&amp;viewModel=detail&amp;moduleId=folders" TargetMode="External"/><Relationship Id="rId91" Type="http://schemas.openxmlformats.org/officeDocument/2006/relationships/hyperlink" Target="https://acc.autodesk.com/docs/files/projects/1e597176-a716-43f8-be36-fdbb47ecdee5?folderUrn=urn:adsk.wipprod:fs.folder:co.0X3VkD07TZKRc7zUk_8boQ" TargetMode="External"/><Relationship Id="rId90" Type="http://schemas.openxmlformats.org/officeDocument/2006/relationships/hyperlink" Target="https://acc.autodesk.com/docs/files/projects/1e597176-a716-43f8-be36-fdbb47ecdee5?folderUrn=urn:adsk.wipprod:fs.folder:co.0X3VkD07TZKRc7zUk_8boQ&amp;entityId=urn:adsk.wipprod:dm.lineage:PkhoiFCxTF2_QXfJKly1yQ&amp;viewModel=detail&amp;moduleId=folders" TargetMode="External"/><Relationship Id="rId93" Type="http://schemas.openxmlformats.org/officeDocument/2006/relationships/hyperlink" Target="https://acc.autodesk.com/docs/files/projects/1e597176-a716-43f8-be36-fdbb47ecdee5?folderUrn=urn:adsk.wipprod:fs.folder:co.0X3VkD07TZKRc7zUk_8boQ" TargetMode="External"/><Relationship Id="rId92" Type="http://schemas.openxmlformats.org/officeDocument/2006/relationships/hyperlink" Target="https://acc.autodesk.com/docs/files/projects/1e597176-a716-43f8-be36-fdbb47ecdee5?folderUrn=urn:adsk.wipprod:fs.folder:co.0X3VkD07TZKRc7zUk_8boQ&amp;entityId=urn:adsk.wipprod:dm.lineage:V5fqzWfaSS6pZBRSGXoU6Q&amp;viewModel=detail&amp;moduleId=folders" TargetMode="External"/><Relationship Id="rId118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WvUDFVEQSLWk3hVlFEnBvw&amp;viewModel=detail&amp;moduleId=folders" TargetMode="External"/><Relationship Id="rId239" Type="http://schemas.openxmlformats.org/officeDocument/2006/relationships/hyperlink" Target="https://acc.autodesk.com/docs/files/projects/1e597176-a716-43f8-be36-fdbb47ecdee5?folderUrn=urn:adsk.wipprod:fs.folder:co.AJlWibkVQ-q2t3pEX67Fow" TargetMode="External"/><Relationship Id="rId117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38" Type="http://schemas.openxmlformats.org/officeDocument/2006/relationships/hyperlink" Target="https://acc.autodesk.com/docs/files/projects/1e597176-a716-43f8-be36-fdbb47ecdee5?folderUrn=urn:adsk.wipprod:fs.folder:co.AJlWibkVQ-q2t3pEX67Fow&amp;entityId=urn:adsk.wipprod:dm.lineage:b38mbl2eQtiXUqNCYKarIg&amp;viewModel=detail&amp;moduleId=folders" TargetMode="External"/><Relationship Id="rId116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lFul9RGMRz2TcseRlcp5Nw&amp;viewModel=detail&amp;moduleId=folders" TargetMode="External"/><Relationship Id="rId237" Type="http://schemas.openxmlformats.org/officeDocument/2006/relationships/hyperlink" Target="https://acc.autodesk.com/docs/files/projects/1e597176-a716-43f8-be36-fdbb47ecdee5?folderUrn=urn:adsk.wipprod:fs.folder:co.AJlWibkVQ-q2t3pEX67Fow" TargetMode="External"/><Relationship Id="rId115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36" Type="http://schemas.openxmlformats.org/officeDocument/2006/relationships/hyperlink" Target="https://acc.autodesk.com/docs/files/projects/1e597176-a716-43f8-be36-fdbb47ecdee5?folderUrn=urn:adsk.wipprod:fs.folder:co.AJlWibkVQ-q2t3pEX67Fow&amp;entityId=urn:adsk.wipprod:dm.lineage:OGHJ1fYoSKah79CYMcUgfA&amp;viewModel=detail&amp;moduleId=folders" TargetMode="External"/><Relationship Id="rId119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110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-h9jbMDwTjaMlVrYqYpc-Q&amp;viewModel=detail&amp;moduleId=folders" TargetMode="External"/><Relationship Id="rId231" Type="http://schemas.openxmlformats.org/officeDocument/2006/relationships/hyperlink" Target="https://acc.autodesk.com/docs/files/projects/1e597176-a716-43f8-be36-fdbb47ecdee5?folderUrn=urn:adsk.wipprod:fs.folder:co.AJlWibkVQ-q2t3pEX67Fow" TargetMode="External"/><Relationship Id="rId230" Type="http://schemas.openxmlformats.org/officeDocument/2006/relationships/hyperlink" Target="https://acc.autodesk.com/docs/files/projects/1e597176-a716-43f8-be36-fdbb47ecdee5?folderUrn=urn:adsk.wipprod:fs.folder:co.AJlWibkVQ-q2t3pEX67Fow&amp;entityId=urn:adsk.wipprod:dm.lineage:47Kqg80dToqg5WlV5XSgMw&amp;viewModel=detail&amp;moduleId=folders" TargetMode="External"/><Relationship Id="rId114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rmG_Gt8nSh67R1-9VvCysw&amp;viewModel=detail&amp;moduleId=folders" TargetMode="External"/><Relationship Id="rId235" Type="http://schemas.openxmlformats.org/officeDocument/2006/relationships/hyperlink" Target="https://acc.autodesk.com/docs/files/projects/1e597176-a716-43f8-be36-fdbb47ecdee5?folderUrn=urn:adsk.wipprod:fs.folder:co.AJlWibkVQ-q2t3pEX67Fow" TargetMode="External"/><Relationship Id="rId113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34" Type="http://schemas.openxmlformats.org/officeDocument/2006/relationships/hyperlink" Target="https://acc.autodesk.com/docs/files/projects/1e597176-a716-43f8-be36-fdbb47ecdee5?folderUrn=urn:adsk.wipprod:fs.folder:co.AJlWibkVQ-q2t3pEX67Fow&amp;entityId=urn:adsk.wipprod:dm.lineage:BDBSfvVzSEatQ1mUxvv30Q&amp;viewModel=detail&amp;moduleId=folders" TargetMode="External"/><Relationship Id="rId112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AEZDUcP2Q4qwAJYGW5hECg&amp;viewModel=detail&amp;moduleId=folders" TargetMode="External"/><Relationship Id="rId233" Type="http://schemas.openxmlformats.org/officeDocument/2006/relationships/hyperlink" Target="https://acc.autodesk.com/docs/files/projects/1e597176-a716-43f8-be36-fdbb47ecdee5?folderUrn=urn:adsk.wipprod:fs.folder:co.AJlWibkVQ-q2t3pEX67Fow" TargetMode="External"/><Relationship Id="rId111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32" Type="http://schemas.openxmlformats.org/officeDocument/2006/relationships/hyperlink" Target="https://acc.autodesk.com/docs/files/projects/1e597176-a716-43f8-be36-fdbb47ecdee5?folderUrn=urn:adsk.wipprod:fs.folder:co.AJlWibkVQ-q2t3pEX67Fow&amp;entityId=urn:adsk.wipprod:dm.lineage:eQM4tTMWSZiHY7DHhjGYCQ&amp;viewModel=detail&amp;moduleId=folders" TargetMode="External"/><Relationship Id="rId206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G2JiuBzLQrKfYa4jjesgNw&amp;viewModel=detail&amp;moduleId=folders" TargetMode="External"/><Relationship Id="rId205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04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awRCLfUcQnmVdIoS-ubrDA&amp;viewModel=detail&amp;moduleId=folders" TargetMode="External"/><Relationship Id="rId203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09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08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cJHtoae8RCu7tm0QYlRmYA&amp;viewModel=detail&amp;moduleId=folders" TargetMode="External"/><Relationship Id="rId207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02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PvIdnEl8RHml0ihKkIHCPA&amp;viewModel=detail&amp;moduleId=folders" TargetMode="External"/><Relationship Id="rId201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00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-TRv-skTRHCtao2b8_C-WA&amp;viewModel=detail&amp;moduleId=folders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2cxHUmInTLW9PXGuAAG5-g&amp;viewModel=detail&amp;moduleId=folders" TargetMode="External"/><Relationship Id="rId194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rPYrxNa4SAiGd4mvi5xfvw&amp;viewModel=detail&amp;moduleId=folders" TargetMode="External"/><Relationship Id="rId193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192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mpdTZhuTTbOPYMnoTZRVpw&amp;viewModel=detail&amp;moduleId=folders" TargetMode="External"/><Relationship Id="rId191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187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186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7vlIwFunRj21g6myrKE1Vw&amp;viewModel=detail&amp;moduleId=folders" TargetMode="External"/><Relationship Id="rId185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184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_VT_byTgRJeJ4OhG2jYODw&amp;viewModel=detail&amp;moduleId=folders" TargetMode="External"/><Relationship Id="rId189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188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C2jt9gl1SyONNjPnjr337Q&amp;viewModel=detail&amp;moduleId=folders" TargetMode="External"/><Relationship Id="rId183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182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mggmpN5iQBKZH570tUmfjQ&amp;viewModel=detail&amp;moduleId=folders" TargetMode="External"/><Relationship Id="rId181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180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eEx8-ufQRAqrSNWn8Yyt3A&amp;viewModel=detail&amp;moduleId=folders" TargetMode="External"/><Relationship Id="rId176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ViX9c0i5QWGOF7UypgYLNg&amp;viewModel=detail&amp;moduleId=folders" TargetMode="External"/><Relationship Id="rId297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175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296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b8_VsSNPQeu6nsvaNKKLHg&amp;viewModel=detail&amp;moduleId=folders" TargetMode="External"/><Relationship Id="rId174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95gzS8_oTa2hOtvqgqzUgA&amp;viewModel=detail&amp;moduleId=folders" TargetMode="External"/><Relationship Id="rId295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173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294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N1yEbPAER66MtyUOIJ__XA&amp;viewModel=detail&amp;moduleId=folders" TargetMode="External"/><Relationship Id="rId179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178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DfctWK9BT467E8Re23_JHw&amp;viewModel=detail&amp;moduleId=folders" TargetMode="External"/><Relationship Id="rId299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177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298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QONEU33US3mnbQsRUakqRA&amp;viewModel=detail&amp;moduleId=folders" TargetMode="External"/><Relationship Id="rId198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PWEummsDQ6yjvm1MtLnqLw&amp;viewModel=detail&amp;moduleId=folders" TargetMode="External"/><Relationship Id="rId197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196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2GDClDTdQLOL9lj41Kq3ag&amp;viewModel=detail&amp;moduleId=folders" TargetMode="External"/><Relationship Id="rId195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199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150" Type="http://schemas.openxmlformats.org/officeDocument/2006/relationships/hyperlink" Target="https://acc.autodesk.com/build/files/projects/1e597176-a716-43f8-be36-fdbb47ecdee5?folderUrn=urn:adsk.wipprod:fs.folder:co.7NiVimFoQNGaJytOMwaTgQ&amp;entityId=urn:adsk.wipprod:dm.lineage:-dnvR1-0R9OeB48kOyCUxA&amp;viewModel=detail&amp;moduleId=folders" TargetMode="External"/><Relationship Id="rId271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392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p8S4iBOBQNyyKoUTn3XYzQ&amp;viewModel=detail&amp;moduleId=folders" TargetMode="External"/><Relationship Id="rId270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NEmJEWLPTkaQeQeEql0N8A&amp;viewModel=detail&amp;moduleId=folders" TargetMode="External"/><Relationship Id="rId391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390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V0PTdbbrTaics-U47tkjSg&amp;viewModel=detail&amp;moduleId=folders" TargetMode="External"/><Relationship Id="rId1" Type="http://schemas.openxmlformats.org/officeDocument/2006/relationships/hyperlink" Target="https://acc.autodesk.com/build/files/projects/1e597176-a716-43f8-be36-fdbb47ecdee5?folderUrn=urn:adsk.wipprod:fs.folder:co.Qy7tJjVUQXqthtbCwFzLqw" TargetMode="External"/><Relationship Id="rId2" Type="http://schemas.openxmlformats.org/officeDocument/2006/relationships/hyperlink" Target="https://acc.autodesk.com/build/files/projects/1e597176-a716-43f8-be36-fdbb47ecdee5?folderUrn=urn:adsk.wipprod:fs.folder:co.Qy7tJjVUQXqthtbCwFzLqw&amp;entityId=urn:adsk.wipprod:dm.lineage:oEvuU9FUSeiPoWHQ2hYAvQ&amp;viewModel=detail&amp;moduleId=folders" TargetMode="External"/><Relationship Id="rId3" Type="http://schemas.openxmlformats.org/officeDocument/2006/relationships/hyperlink" Target="https://acc.autodesk.com/build/files/projects/1e597176-a716-43f8-be36-fdbb47ecdee5?folderUrn=urn:adsk.wipprod:fs.folder:co.Qy7tJjVUQXqthtbCwFzLqw" TargetMode="External"/><Relationship Id="rId149" Type="http://schemas.openxmlformats.org/officeDocument/2006/relationships/hyperlink" Target="https://acc.autodesk.com/build/files/projects/1e597176-a716-43f8-be36-fdbb47ecdee5?folderUrn=urn:adsk.wipprod:fs.folder:co.7NiVimFoQNGaJytOMwaTgQ" TargetMode="External"/><Relationship Id="rId4" Type="http://schemas.openxmlformats.org/officeDocument/2006/relationships/hyperlink" Target="https://acc.autodesk.com/build/files/projects/1e597176-a716-43f8-be36-fdbb47ecdee5?folderUrn=urn:adsk.wipprod:fs.folder:co.Qy7tJjVUQXqthtbCwFzLqw&amp;entityId=urn:adsk.wipprod:dm.lineage:zWX24uusSemo4Ph2Wwf4mQ&amp;viewModel=detail&amp;moduleId=folders" TargetMode="External"/><Relationship Id="rId148" Type="http://schemas.openxmlformats.org/officeDocument/2006/relationships/hyperlink" Target="https://acc.autodesk.com/build/files/projects/1e597176-a716-43f8-be36-fdbb47ecdee5?folderUrn=urn:adsk.wipprod:fs.folder:co.7NiVimFoQNGaJytOMwaTgQ&amp;entityId=urn:adsk.wipprod:dm.lineage:fCq5eSWWQf2OqaZsXLrWIw&amp;viewModel=detail&amp;moduleId=folders" TargetMode="External"/><Relationship Id="rId269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9" Type="http://schemas.openxmlformats.org/officeDocument/2006/relationships/hyperlink" Target="https://acc.autodesk.com/build/files/projects/1e597176-a716-43f8-be36-fdbb47ecdee5?folderUrn=urn:adsk.wipprod:fs.folder:co.Qy7tJjVUQXqthtbCwFzLqw" TargetMode="External"/><Relationship Id="rId143" Type="http://schemas.openxmlformats.org/officeDocument/2006/relationships/hyperlink" Target="https://acc.autodesk.com/build/files/projects/1e597176-a716-43f8-be36-fdbb47ecdee5?folderUrn=urn:adsk.wipprod:fs.folder:co.ZUedFvpiSlenX0IHVAo8cA" TargetMode="External"/><Relationship Id="rId264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uOgXBoe5TvGbh-22zEnypQ&amp;viewModel=detail&amp;moduleId=folders" TargetMode="External"/><Relationship Id="rId385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142" Type="http://schemas.openxmlformats.org/officeDocument/2006/relationships/hyperlink" Target="https://acc.autodesk.com/build/files/projects/1e597176-a716-43f8-be36-fdbb47ecdee5?folderUrn=urn:adsk.wipprod:fs.folder:co.ZUedFvpiSlenX0IHVAo8cA&amp;entityId=urn:adsk.wipprod:dm.lineage:O6wqcZczQTKFWMlQ3DqwWQ&amp;viewModel=detail&amp;moduleId=folders" TargetMode="External"/><Relationship Id="rId263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384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KVGithKSTwOgSYAgnbTyeQ&amp;viewModel=detail&amp;moduleId=folders" TargetMode="External"/><Relationship Id="rId141" Type="http://schemas.openxmlformats.org/officeDocument/2006/relationships/hyperlink" Target="https://acc.autodesk.com/build/files/projects/1e597176-a716-43f8-be36-fdbb47ecdee5?folderUrn=urn:adsk.wipprod:fs.folder:co.ZUedFvpiSlenX0IHVAo8cA" TargetMode="External"/><Relationship Id="rId262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JgS6lPPvQ8Cv3Lvw7_x7eA&amp;viewModel=detail&amp;moduleId=folders" TargetMode="External"/><Relationship Id="rId383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140" Type="http://schemas.openxmlformats.org/officeDocument/2006/relationships/hyperlink" Target="https://acc.autodesk.com/build/files/projects/1e597176-a716-43f8-be36-fdbb47ecdee5?folderUrn=urn:adsk.wipprod:fs.folder:co.ZUedFvpiSlenX0IHVAo8cA&amp;entityId=urn:adsk.wipprod:dm.lineage:6PAByJp9QRivhubyTH8z3g&amp;viewModel=detail&amp;moduleId=folders" TargetMode="External"/><Relationship Id="rId261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382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-UIX7spZQ5G7EACyoTPdTA&amp;viewModel=detail&amp;moduleId=folders" TargetMode="External"/><Relationship Id="rId5" Type="http://schemas.openxmlformats.org/officeDocument/2006/relationships/hyperlink" Target="https://acc.autodesk.com/build/files/projects/1e597176-a716-43f8-be36-fdbb47ecdee5?folderUrn=urn:adsk.wipprod:fs.folder:co.Qy7tJjVUQXqthtbCwFzLqw" TargetMode="External"/><Relationship Id="rId147" Type="http://schemas.openxmlformats.org/officeDocument/2006/relationships/hyperlink" Target="https://acc.autodesk.com/build/files/projects/1e597176-a716-43f8-be36-fdbb47ecdee5?folderUrn=urn:adsk.wipprod:fs.folder:co.7NiVimFoQNGaJytOMwaTgQ" TargetMode="External"/><Relationship Id="rId268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uE6CejTKTQGqPHWhhLgSgg&amp;viewModel=detail&amp;moduleId=folders" TargetMode="External"/><Relationship Id="rId389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6" Type="http://schemas.openxmlformats.org/officeDocument/2006/relationships/hyperlink" Target="https://acc.autodesk.com/build/files/projects/1e597176-a716-43f8-be36-fdbb47ecdee5?folderUrn=urn:adsk.wipprod:fs.folder:co.Qy7tJjVUQXqthtbCwFzLqw&amp;entityId=urn:adsk.wipprod:dm.lineage:cNn3njrJSHiDhNp5wrayPw&amp;viewModel=detail&amp;moduleId=folders" TargetMode="External"/><Relationship Id="rId146" Type="http://schemas.openxmlformats.org/officeDocument/2006/relationships/hyperlink" Target="https://acc.autodesk.com/build/files/projects/1e597176-a716-43f8-be36-fdbb47ecdee5?folderUrn=urn:adsk.wipprod:fs.folder:co.ZUedFvpiSlenX0IHVAo8cA&amp;entityId=urn:adsk.wipprod:dm.lineage:4k6zm8xlTtSRH5nTxq1YlQ&amp;viewModel=detail&amp;moduleId=folders" TargetMode="External"/><Relationship Id="rId267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388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yzpkuKe8TQ6yxUts6TPCFQ&amp;viewModel=detail&amp;moduleId=folders" TargetMode="External"/><Relationship Id="rId7" Type="http://schemas.openxmlformats.org/officeDocument/2006/relationships/hyperlink" Target="https://acc.autodesk.com/build/files/projects/1e597176-a716-43f8-be36-fdbb47ecdee5?folderUrn=urn:adsk.wipprod:fs.folder:co.Qy7tJjVUQXqthtbCwFzLqw" TargetMode="External"/><Relationship Id="rId145" Type="http://schemas.openxmlformats.org/officeDocument/2006/relationships/hyperlink" Target="https://acc.autodesk.com/build/files/projects/1e597176-a716-43f8-be36-fdbb47ecdee5?folderUrn=urn:adsk.wipprod:fs.folder:co.ZUedFvpiSlenX0IHVAo8cA" TargetMode="External"/><Relationship Id="rId266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95u00VkWQ7yNpRxzLdR9Mw&amp;viewModel=detail&amp;moduleId=folders" TargetMode="External"/><Relationship Id="rId387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8" Type="http://schemas.openxmlformats.org/officeDocument/2006/relationships/hyperlink" Target="https://acc.autodesk.com/build/files/projects/1e597176-a716-43f8-be36-fdbb47ecdee5?folderUrn=urn:adsk.wipprod:fs.folder:co.Qy7tJjVUQXqthtbCwFzLqw&amp;entityId=urn:adsk.wipprod:dm.lineage:GZ9mvFPKTgmDZNZffxo7PQ&amp;viewModel=detail&amp;moduleId=folders" TargetMode="External"/><Relationship Id="rId144" Type="http://schemas.openxmlformats.org/officeDocument/2006/relationships/hyperlink" Target="https://acc.autodesk.com/build/files/projects/1e597176-a716-43f8-be36-fdbb47ecdee5?folderUrn=urn:adsk.wipprod:fs.folder:co.ZUedFvpiSlenX0IHVAo8cA&amp;entityId=urn:adsk.wipprod:dm.lineage:yRFQeVhARFWC-weg0VqD-w&amp;viewModel=detail&amp;moduleId=folders" TargetMode="External"/><Relationship Id="rId265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386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5OIe3gUdSNykgWnB0D0-Fw&amp;viewModel=detail&amp;moduleId=folders" TargetMode="External"/><Relationship Id="rId260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dcczKl1hQGOV_b8vb8-Tmw&amp;viewModel=detail&amp;moduleId=folders" TargetMode="External"/><Relationship Id="rId381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380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ZM7w2uGpRAqcvFi9ySKKGQ&amp;viewModel=detail&amp;moduleId=folders" TargetMode="External"/><Relationship Id="rId139" Type="http://schemas.openxmlformats.org/officeDocument/2006/relationships/hyperlink" Target="https://acc.autodesk.com/build/files/projects/1e597176-a716-43f8-be36-fdbb47ecdee5?folderUrn=urn:adsk.wipprod:fs.folder:co.ZUedFvpiSlenX0IHVAo8cA" TargetMode="External"/><Relationship Id="rId138" Type="http://schemas.openxmlformats.org/officeDocument/2006/relationships/hyperlink" Target="https://acc.autodesk.com/build/files/projects/1e597176-a716-43f8-be36-fdbb47ecdee5?folderUrn=urn:adsk.wipprod:fs.folder:co.ZUedFvpiSlenX0IHVAo8cA&amp;entityId=urn:adsk.wipprod:dm.lineage:VzG2eerWSdShdaBZSx0hbw&amp;viewModel=detail&amp;moduleId=folders" TargetMode="External"/><Relationship Id="rId259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137" Type="http://schemas.openxmlformats.org/officeDocument/2006/relationships/hyperlink" Target="https://acc.autodesk.com/build/files/projects/1e597176-a716-43f8-be36-fdbb47ecdee5?folderUrn=urn:adsk.wipprod:fs.folder:co.ZUedFvpiSlenX0IHVAo8cA" TargetMode="External"/><Relationship Id="rId258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eAymed0tQfWASsKMGXKxLw&amp;viewModel=detail&amp;moduleId=folders" TargetMode="External"/><Relationship Id="rId379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132" Type="http://schemas.openxmlformats.org/officeDocument/2006/relationships/hyperlink" Target="https://acc.autodesk.com/build/files/projects/1e597176-a716-43f8-be36-fdbb47ecdee5?folderUrn=urn:adsk.wipprod:fs.folder:co.ZUedFvpiSlenX0IHVAo8cA&amp;entityId=urn:adsk.wipprod:dm.lineage:R4VF9GwxSnyi1UDgiqourQ&amp;viewModel=detail&amp;moduleId=folders" TargetMode="External"/><Relationship Id="rId253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374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ay-jjBgOS0KJ5pMaGRv-eQ&amp;viewModel=detail&amp;moduleId=folders" TargetMode="External"/><Relationship Id="rId131" Type="http://schemas.openxmlformats.org/officeDocument/2006/relationships/hyperlink" Target="https://acc.autodesk.com/build/files/projects/1e597176-a716-43f8-be36-fdbb47ecdee5?folderUrn=urn:adsk.wipprod:fs.folder:co.ZUedFvpiSlenX0IHVAo8cA" TargetMode="External"/><Relationship Id="rId252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XaCbWEgAT5q6ZJ0kdappFw&amp;viewModel=detail&amp;moduleId=folders" TargetMode="External"/><Relationship Id="rId373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130" Type="http://schemas.openxmlformats.org/officeDocument/2006/relationships/hyperlink" Target="https://acc.autodesk.com/build/files/projects/1e597176-a716-43f8-be36-fdbb47ecdee5?folderUrn=urn:adsk.wipprod:fs.folder:co.ZUedFvpiSlenX0IHVAo8cA&amp;entityId=urn:adsk.wipprod:dm.lineage:CV6GEsRrQf-4u4TLFQD0Ag&amp;viewModel=detail&amp;moduleId=folders" TargetMode="External"/><Relationship Id="rId251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372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t5ler3dLS-iqUvtw-cuHvg&amp;viewModel=detail&amp;moduleId=folders" TargetMode="External"/><Relationship Id="rId250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CxrrIKXIT-KrqcDNkQ46Dg&amp;viewModel=detail&amp;moduleId=folders" TargetMode="External"/><Relationship Id="rId371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136" Type="http://schemas.openxmlformats.org/officeDocument/2006/relationships/hyperlink" Target="https://acc.autodesk.com/build/files/projects/1e597176-a716-43f8-be36-fdbb47ecdee5?folderUrn=urn:adsk.wipprod:fs.folder:co.ZUedFvpiSlenX0IHVAo8cA&amp;entityId=urn:adsk.wipprod:dm.lineage:KHHHqXblQ6mODCela4Ke4g&amp;viewModel=detail&amp;moduleId=folders" TargetMode="External"/><Relationship Id="rId257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378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2wG8QHiJSpy2eX6Kt61LZw&amp;viewModel=detail&amp;moduleId=folders" TargetMode="External"/><Relationship Id="rId135" Type="http://schemas.openxmlformats.org/officeDocument/2006/relationships/hyperlink" Target="https://acc.autodesk.com/build/files/projects/1e597176-a716-43f8-be36-fdbb47ecdee5?folderUrn=urn:adsk.wipprod:fs.folder:co.ZUedFvpiSlenX0IHVAo8cA" TargetMode="External"/><Relationship Id="rId256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POcrEgTgT06ZxRpfRtXECA&amp;viewModel=detail&amp;moduleId=folders" TargetMode="External"/><Relationship Id="rId377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134" Type="http://schemas.openxmlformats.org/officeDocument/2006/relationships/hyperlink" Target="https://acc.autodesk.com/build/files/projects/1e597176-a716-43f8-be36-fdbb47ecdee5?folderUrn=urn:adsk.wipprod:fs.folder:co.ZUedFvpiSlenX0IHVAo8cA&amp;entityId=urn:adsk.wipprod:dm.lineage:0oIML3-vTN2RbO9g3rVtzQ&amp;viewModel=detail&amp;moduleId=folders" TargetMode="External"/><Relationship Id="rId255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376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DfTrENUXT62Mc-Nz-Quuqg&amp;viewModel=detail&amp;moduleId=folders" TargetMode="External"/><Relationship Id="rId133" Type="http://schemas.openxmlformats.org/officeDocument/2006/relationships/hyperlink" Target="https://acc.autodesk.com/build/files/projects/1e597176-a716-43f8-be36-fdbb47ecdee5?folderUrn=urn:adsk.wipprod:fs.folder:co.ZUedFvpiSlenX0IHVAo8cA" TargetMode="External"/><Relationship Id="rId254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M1EXhnvjTgSW_wk0hFWvSg&amp;viewModel=detail&amp;moduleId=folders" TargetMode="External"/><Relationship Id="rId375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172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QbBiL8qcQvmErAM42bxXPg&amp;viewModel=detail&amp;moduleId=folders" TargetMode="External"/><Relationship Id="rId293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171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292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2RU-d2ofSbSsYOVeMPYgog&amp;viewModel=detail&amp;moduleId=folders" TargetMode="External"/><Relationship Id="rId170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w6c2_4SIRSq_M5Vrstc20g&amp;viewModel=detail&amp;moduleId=folders" TargetMode="External"/><Relationship Id="rId291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290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83pZOulhQVG-NDRlTJIkdw&amp;viewModel=detail&amp;moduleId=folders" TargetMode="External"/><Relationship Id="rId165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286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74gD6nSkRaSj3HjIFRuotw&amp;viewModel=detail&amp;moduleId=folders" TargetMode="External"/><Relationship Id="rId164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Y3G1NVauTLuFl2a85Z9cXQ&amp;viewModel=detail&amp;moduleId=folders" TargetMode="External"/><Relationship Id="rId285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163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284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e7m6tP3SSySkToLL1Fl41w&amp;viewModel=detail&amp;moduleId=folders" TargetMode="External"/><Relationship Id="rId162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sDpF5Y90ROKZhI8R7fVb4g&amp;viewModel=detail&amp;moduleId=folders" TargetMode="External"/><Relationship Id="rId283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169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168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MTWI2DqgR7OjetkiAHV4gQ&amp;viewModel=detail&amp;moduleId=folders" TargetMode="External"/><Relationship Id="rId289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167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288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69pDim4aRvWD9dBFRJkp3w&amp;viewModel=detail&amp;moduleId=folders" TargetMode="External"/><Relationship Id="rId166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pPQB1oJbRWKMN92jiNjOLw&amp;viewModel=detail&amp;moduleId=folders" TargetMode="External"/><Relationship Id="rId287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161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282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gMZANgCnQPOwhcvtMPi6Kg&amp;viewModel=detail&amp;moduleId=folders" TargetMode="External"/><Relationship Id="rId160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cBnipkdbQ-SPBGCsEGUkig&amp;viewModel=detail&amp;moduleId=folders" TargetMode="External"/><Relationship Id="rId281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280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S0DJKeRJRtSIFJTlQ9vnog&amp;viewModel=detail&amp;moduleId=folders" TargetMode="External"/><Relationship Id="rId159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154" Type="http://schemas.openxmlformats.org/officeDocument/2006/relationships/hyperlink" Target="https://acc.autodesk.com/build/files/projects/1e597176-a716-43f8-be36-fdbb47ecdee5?folderUrn=urn:adsk.wipprod:fs.folder:co.7NiVimFoQNGaJytOMwaTgQ&amp;entityId=urn:adsk.wipprod:dm.lineage:3Nx_UoVfR9SapbNMF7e6Cg&amp;viewModel=detail&amp;moduleId=folders" TargetMode="External"/><Relationship Id="rId275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396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0AyB66q4SDWGrECE63Ne3Q&amp;viewModel=detail&amp;moduleId=folders" TargetMode="External"/><Relationship Id="rId153" Type="http://schemas.openxmlformats.org/officeDocument/2006/relationships/hyperlink" Target="https://acc.autodesk.com/build/files/projects/1e597176-a716-43f8-be36-fdbb47ecdee5?folderUrn=urn:adsk.wipprod:fs.folder:co.7NiVimFoQNGaJytOMwaTgQ" TargetMode="External"/><Relationship Id="rId274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SfCujn22TduduntALZyfLg&amp;viewModel=detail&amp;moduleId=folders" TargetMode="External"/><Relationship Id="rId395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152" Type="http://schemas.openxmlformats.org/officeDocument/2006/relationships/hyperlink" Target="https://acc.autodesk.com/build/files/projects/1e597176-a716-43f8-be36-fdbb47ecdee5?folderUrn=urn:adsk.wipprod:fs.folder:co.7NiVimFoQNGaJytOMwaTgQ&amp;entityId=urn:adsk.wipprod:dm.lineage:Pq6sqIKXRhON0PxREvhadw&amp;viewModel=detail&amp;moduleId=folders" TargetMode="External"/><Relationship Id="rId273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394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RDbtiHQ5QZag0YYZ3LZwUA&amp;viewModel=detail&amp;moduleId=folders" TargetMode="External"/><Relationship Id="rId151" Type="http://schemas.openxmlformats.org/officeDocument/2006/relationships/hyperlink" Target="https://acc.autodesk.com/build/files/projects/1e597176-a716-43f8-be36-fdbb47ecdee5?folderUrn=urn:adsk.wipprod:fs.folder:co.7NiVimFoQNGaJytOMwaTgQ" TargetMode="External"/><Relationship Id="rId272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5ZPXg947TZSo71_SblyOAA&amp;viewModel=detail&amp;moduleId=folders" TargetMode="External"/><Relationship Id="rId393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158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HNB5bqrdRYSuwKqy9aIA1w&amp;viewModel=detail&amp;moduleId=folders" TargetMode="External"/><Relationship Id="rId279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157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278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Wdp5BUrxTM2QOm1nWv8tYA&amp;viewModel=detail&amp;moduleId=folders" TargetMode="External"/><Relationship Id="rId399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156" Type="http://schemas.openxmlformats.org/officeDocument/2006/relationships/hyperlink" Target="https://acc.autodesk.com/build/files/projects/1e597176-a716-43f8-be36-fdbb47ecdee5?folderUrn=urn:adsk.wipprod:fs.folder:co.7NiVimFoQNGaJytOMwaTgQ&amp;entityId=urn:adsk.wipprod:dm.lineage:hf4VdC6KQnOok0vAF7unlQ&amp;viewModel=detail&amp;moduleId=folders" TargetMode="External"/><Relationship Id="rId277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398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nhPH0XoaQYuIb1rGrQpcDQ&amp;viewModel=detail&amp;moduleId=folders" TargetMode="External"/><Relationship Id="rId155" Type="http://schemas.openxmlformats.org/officeDocument/2006/relationships/hyperlink" Target="https://acc.autodesk.com/build/files/projects/1e597176-a716-43f8-be36-fdbb47ecdee5?folderUrn=urn:adsk.wipprod:fs.folder:co.7NiVimFoQNGaJytOMwaTgQ" TargetMode="External"/><Relationship Id="rId276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IN_ms85uSG6qJ5kCNUXMdA&amp;viewModel=detail&amp;moduleId=folders" TargetMode="External"/><Relationship Id="rId397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40" Type="http://schemas.openxmlformats.org/officeDocument/2006/relationships/hyperlink" Target="https://acc.autodesk.com/build/files/projects/1e597176-a716-43f8-be36-fdbb47ecdee5?folderUrn=urn:adsk.wipprod:fs.folder:co.Qy7tJjVUQXqthtbCwFzLqw&amp;entityId=urn:adsk.wipprod:dm.lineage:LLWH9J1uTWeJzOnD8BP3SA&amp;viewModel=detail&amp;moduleId=folders" TargetMode="External"/><Relationship Id="rId42" Type="http://schemas.openxmlformats.org/officeDocument/2006/relationships/hyperlink" Target="https://acc.autodesk.com/build/files/projects/1e597176-a716-43f8-be36-fdbb47ecdee5?folderUrn=urn:adsk.wipprod:fs.folder:co.wJHjelD6T-iDsdI_TUgOIw&amp;entityId=urn:adsk.wipprod:dm.lineage:gfqiG4PERj6ge9S6qgMqQQ&amp;viewModel=detail&amp;moduleId=folders" TargetMode="External"/><Relationship Id="rId41" Type="http://schemas.openxmlformats.org/officeDocument/2006/relationships/hyperlink" Target="https://acc.autodesk.com/build/files/projects/1e597176-a716-43f8-be36-fdbb47ecdee5?folderUrn=urn:adsk.wipprod:fs.folder:co.wJHjelD6T-iDsdI_TUgOIw" TargetMode="External"/><Relationship Id="rId44" Type="http://schemas.openxmlformats.org/officeDocument/2006/relationships/hyperlink" Target="https://acc.autodesk.com/build/files/projects/1e597176-a716-43f8-be36-fdbb47ecdee5?folderUrn=urn:adsk.wipprod:fs.folder:co.wJHjelD6T-iDsdI_TUgOIw&amp;entityId=urn:adsk.wipprod:dm.lineage:6Vl20pFRQLuU5ZqdzCzCEA&amp;viewModel=detail&amp;moduleId=folders" TargetMode="External"/><Relationship Id="rId43" Type="http://schemas.openxmlformats.org/officeDocument/2006/relationships/hyperlink" Target="https://acc.autodesk.com/build/files/projects/1e597176-a716-43f8-be36-fdbb47ecdee5?folderUrn=urn:adsk.wipprod:fs.folder:co.wJHjelD6T-iDsdI_TUgOIw" TargetMode="External"/><Relationship Id="rId46" Type="http://schemas.openxmlformats.org/officeDocument/2006/relationships/hyperlink" Target="https://acc.autodesk.com/build/files/projects/1e597176-a716-43f8-be36-fdbb47ecdee5?folderUrn=urn:adsk.wipprod:fs.folder:co.wJHjelD6T-iDsdI_TUgOIw&amp;entityId=urn:adsk.wipprod:dm.lineage:KxHBFUekQNWqp_zlBWSyAw&amp;viewModel=detail&amp;moduleId=folders" TargetMode="External"/><Relationship Id="rId45" Type="http://schemas.openxmlformats.org/officeDocument/2006/relationships/hyperlink" Target="https://acc.autodesk.com/build/files/projects/1e597176-a716-43f8-be36-fdbb47ecdee5?folderUrn=urn:adsk.wipprod:fs.folder:co.wJHjelD6T-iDsdI_TUgOIw" TargetMode="External"/><Relationship Id="rId48" Type="http://schemas.openxmlformats.org/officeDocument/2006/relationships/hyperlink" Target="https://acc.autodesk.com/build/files/projects/1e597176-a716-43f8-be36-fdbb47ecdee5?folderUrn=urn:adsk.wipprod:fs.folder:co.wJHjelD6T-iDsdI_TUgOIw&amp;entityId=urn:adsk.wipprod:dm.lineage:vApp2jyITsy0l7l0wqngXA&amp;viewModel=detail&amp;moduleId=folders" TargetMode="External"/><Relationship Id="rId47" Type="http://schemas.openxmlformats.org/officeDocument/2006/relationships/hyperlink" Target="https://acc.autodesk.com/build/files/projects/1e597176-a716-43f8-be36-fdbb47ecdee5?folderUrn=urn:adsk.wipprod:fs.folder:co.wJHjelD6T-iDsdI_TUgOIw" TargetMode="External"/><Relationship Id="rId49" Type="http://schemas.openxmlformats.org/officeDocument/2006/relationships/hyperlink" Target="https://acc.autodesk.com/build/files/projects/1e597176-a716-43f8-be36-fdbb47ecdee5?folderUrn=urn:adsk.wipprod:fs.folder:co.wJHjelD6T-iDsdI_TUgOIw" TargetMode="External"/><Relationship Id="rId31" Type="http://schemas.openxmlformats.org/officeDocument/2006/relationships/hyperlink" Target="https://acc.autodesk.com/build/files/projects/1e597176-a716-43f8-be36-fdbb47ecdee5?folderUrn=urn:adsk.wipprod:fs.folder:co.Qy7tJjVUQXqthtbCwFzLqw" TargetMode="External"/><Relationship Id="rId30" Type="http://schemas.openxmlformats.org/officeDocument/2006/relationships/hyperlink" Target="https://acc.autodesk.com/build/files/projects/1e597176-a716-43f8-be36-fdbb47ecdee5?folderUrn=urn:adsk.wipprod:fs.folder:co.Qy7tJjVUQXqthtbCwFzLqw&amp;entityId=urn:adsk.wipprod:dm.lineage:e4zSKvv8RtKKKBefGXQkZw&amp;viewModel=detail&amp;moduleId=folders" TargetMode="External"/><Relationship Id="rId33" Type="http://schemas.openxmlformats.org/officeDocument/2006/relationships/hyperlink" Target="https://acc.autodesk.com/build/files/projects/1e597176-a716-43f8-be36-fdbb47ecdee5?folderUrn=urn:adsk.wipprod:fs.folder:co.Qy7tJjVUQXqthtbCwFzLqw" TargetMode="External"/><Relationship Id="rId32" Type="http://schemas.openxmlformats.org/officeDocument/2006/relationships/hyperlink" Target="https://acc.autodesk.com/build/files/projects/1e597176-a716-43f8-be36-fdbb47ecdee5?folderUrn=urn:adsk.wipprod:fs.folder:co.Qy7tJjVUQXqthtbCwFzLqw&amp;entityId=urn:adsk.wipprod:dm.lineage:KGEmJdPbRDKtVgqiCxUI1A&amp;viewModel=detail&amp;moduleId=folders" TargetMode="External"/><Relationship Id="rId35" Type="http://schemas.openxmlformats.org/officeDocument/2006/relationships/hyperlink" Target="https://acc.autodesk.com/build/files/projects/1e597176-a716-43f8-be36-fdbb47ecdee5?folderUrn=urn:adsk.wipprod:fs.folder:co.Qy7tJjVUQXqthtbCwFzLqw" TargetMode="External"/><Relationship Id="rId34" Type="http://schemas.openxmlformats.org/officeDocument/2006/relationships/hyperlink" Target="https://acc.autodesk.com/build/files/projects/1e597176-a716-43f8-be36-fdbb47ecdee5?folderUrn=urn:adsk.wipprod:fs.folder:co.Qy7tJjVUQXqthtbCwFzLqw&amp;entityId=urn:adsk.wipprod:dm.lineage:zXg0d-ATTfaQ-QtvuBQACw&amp;viewModel=detail&amp;moduleId=folders" TargetMode="External"/><Relationship Id="rId37" Type="http://schemas.openxmlformats.org/officeDocument/2006/relationships/hyperlink" Target="https://acc.autodesk.com/build/files/projects/1e597176-a716-43f8-be36-fdbb47ecdee5?folderUrn=urn:adsk.wipprod:fs.folder:co.Qy7tJjVUQXqthtbCwFzLqw" TargetMode="External"/><Relationship Id="rId36" Type="http://schemas.openxmlformats.org/officeDocument/2006/relationships/hyperlink" Target="https://acc.autodesk.com/build/files/projects/1e597176-a716-43f8-be36-fdbb47ecdee5?folderUrn=urn:adsk.wipprod:fs.folder:co.Qy7tJjVUQXqthtbCwFzLqw&amp;entityId=urn:adsk.wipprod:dm.lineage:ZDY7G0Z3SGaVgeOdyWOiLw&amp;viewModel=detail&amp;moduleId=folders" TargetMode="External"/><Relationship Id="rId39" Type="http://schemas.openxmlformats.org/officeDocument/2006/relationships/hyperlink" Target="https://acc.autodesk.com/build/files/projects/1e597176-a716-43f8-be36-fdbb47ecdee5?folderUrn=urn:adsk.wipprod:fs.folder:co.Qy7tJjVUQXqthtbCwFzLqw" TargetMode="External"/><Relationship Id="rId38" Type="http://schemas.openxmlformats.org/officeDocument/2006/relationships/hyperlink" Target="https://acc.autodesk.com/build/files/projects/1e597176-a716-43f8-be36-fdbb47ecdee5?folderUrn=urn:adsk.wipprod:fs.folder:co.Qy7tJjVUQXqthtbCwFzLqw&amp;entityId=urn:adsk.wipprod:dm.lineage:h1hHrO5pQ-i2qXd8FIEMlw&amp;viewModel=detail&amp;moduleId=folders" TargetMode="External"/><Relationship Id="rId20" Type="http://schemas.openxmlformats.org/officeDocument/2006/relationships/hyperlink" Target="https://acc.autodesk.com/build/files/projects/1e597176-a716-43f8-be36-fdbb47ecdee5?folderUrn=urn:adsk.wipprod:fs.folder:co.Qy7tJjVUQXqthtbCwFzLqw&amp;entityId=urn:adsk.wipprod:dm.lineage:4W8Cf3JrRwqHUazhIlTTAg&amp;viewModel=detail&amp;moduleId=folders" TargetMode="External"/><Relationship Id="rId22" Type="http://schemas.openxmlformats.org/officeDocument/2006/relationships/hyperlink" Target="https://acc.autodesk.com/build/files/projects/1e597176-a716-43f8-be36-fdbb47ecdee5?folderUrn=urn:adsk.wipprod:fs.folder:co.Qy7tJjVUQXqthtbCwFzLqw&amp;entityId=urn:adsk.wipprod:dm.lineage:7mKVI18ERaGW_4kHprFDlw&amp;viewModel=detail&amp;moduleId=folders" TargetMode="External"/><Relationship Id="rId21" Type="http://schemas.openxmlformats.org/officeDocument/2006/relationships/hyperlink" Target="https://acc.autodesk.com/build/files/projects/1e597176-a716-43f8-be36-fdbb47ecdee5?folderUrn=urn:adsk.wipprod:fs.folder:co.Qy7tJjVUQXqthtbCwFzLqw" TargetMode="External"/><Relationship Id="rId24" Type="http://schemas.openxmlformats.org/officeDocument/2006/relationships/hyperlink" Target="https://acc.autodesk.com/build/files/projects/1e597176-a716-43f8-be36-fdbb47ecdee5?folderUrn=urn:adsk.wipprod:fs.folder:co.Qy7tJjVUQXqthtbCwFzLqw&amp;entityId=urn:adsk.wipprod:dm.lineage:cQS_xft6TIiy7qhkJ36zuw&amp;viewModel=detail&amp;moduleId=folders" TargetMode="External"/><Relationship Id="rId23" Type="http://schemas.openxmlformats.org/officeDocument/2006/relationships/hyperlink" Target="https://acc.autodesk.com/build/files/projects/1e597176-a716-43f8-be36-fdbb47ecdee5?folderUrn=urn:adsk.wipprod:fs.folder:co.Qy7tJjVUQXqthtbCwFzLqw" TargetMode="External"/><Relationship Id="rId409" Type="http://schemas.openxmlformats.org/officeDocument/2006/relationships/hyperlink" Target="https://acc.autodesk.com/build/files/projects/1e597176-a716-43f8-be36-fdbb47ecdee5?folderUrn=urn:adsk.wipprod:fs.folder:co.3hoTHM-8TmiCBb87zdnAhg" TargetMode="External"/><Relationship Id="rId404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76-92tORTVybOn2Sua3BqQ&amp;viewModel=detail&amp;moduleId=folders" TargetMode="External"/><Relationship Id="rId403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402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pH5u8lOmQtGzRH4EuzUzTw&amp;viewModel=detail&amp;moduleId=folders" TargetMode="External"/><Relationship Id="rId401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408" Type="http://schemas.openxmlformats.org/officeDocument/2006/relationships/hyperlink" Target="https://acc.autodesk.com/build/files/projects/1e597176-a716-43f8-be36-fdbb47ecdee5?folderUrn=urn:adsk.wipprod:fs.folder:co.3hoTHM-8TmiCBb87zdnAhg&amp;entityId=urn:adsk.wipprod:dm.lineage:8xcq0-OxToSvmjLUqDWm9w&amp;viewModel=detail&amp;moduleId=folders" TargetMode="External"/><Relationship Id="rId407" Type="http://schemas.openxmlformats.org/officeDocument/2006/relationships/hyperlink" Target="https://acc.autodesk.com/build/files/projects/1e597176-a716-43f8-be36-fdbb47ecdee5?folderUrn=urn:adsk.wipprod:fs.folder:co.3hoTHM-8TmiCBb87zdnAhg" TargetMode="External"/><Relationship Id="rId406" Type="http://schemas.openxmlformats.org/officeDocument/2006/relationships/hyperlink" Target="https://acc.autodesk.com/build/files/projects/1e597176-a716-43f8-be36-fdbb47ecdee5?folderUrn=urn:adsk.wipprod:fs.folder:co.3hoTHM-8TmiCBb87zdnAhg&amp;entityId=urn:adsk.wipprod:dm.lineage:UWstoNgdRrme2VBgnfGLtA&amp;viewModel=detail&amp;moduleId=folders" TargetMode="External"/><Relationship Id="rId405" Type="http://schemas.openxmlformats.org/officeDocument/2006/relationships/hyperlink" Target="https://acc.autodesk.com/build/files/projects/1e597176-a716-43f8-be36-fdbb47ecdee5?folderUrn=urn:adsk.wipprod:fs.folder:co.3hoTHM-8TmiCBb87zdnAhg" TargetMode="External"/><Relationship Id="rId26" Type="http://schemas.openxmlformats.org/officeDocument/2006/relationships/hyperlink" Target="https://acc.autodesk.com/build/files/projects/1e597176-a716-43f8-be36-fdbb47ecdee5?folderUrn=urn:adsk.wipprod:fs.folder:co.Qy7tJjVUQXqthtbCwFzLqw&amp;entityId=urn:adsk.wipprod:dm.lineage:2XLeVGSsTuSwGfAXs56How&amp;viewModel=detail&amp;moduleId=folders" TargetMode="External"/><Relationship Id="rId25" Type="http://schemas.openxmlformats.org/officeDocument/2006/relationships/hyperlink" Target="https://acc.autodesk.com/build/files/projects/1e597176-a716-43f8-be36-fdbb47ecdee5?folderUrn=urn:adsk.wipprod:fs.folder:co.Qy7tJjVUQXqthtbCwFzLqw" TargetMode="External"/><Relationship Id="rId28" Type="http://schemas.openxmlformats.org/officeDocument/2006/relationships/hyperlink" Target="https://acc.autodesk.com/build/files/projects/1e597176-a716-43f8-be36-fdbb47ecdee5?folderUrn=urn:adsk.wipprod:fs.folder:co.Qy7tJjVUQXqthtbCwFzLqw&amp;entityId=urn:adsk.wipprod:dm.lineage:uFczsVAySCGnFh2zF-bipw&amp;viewModel=detail&amp;moduleId=folders" TargetMode="External"/><Relationship Id="rId27" Type="http://schemas.openxmlformats.org/officeDocument/2006/relationships/hyperlink" Target="https://acc.autodesk.com/build/files/projects/1e597176-a716-43f8-be36-fdbb47ecdee5?folderUrn=urn:adsk.wipprod:fs.folder:co.Qy7tJjVUQXqthtbCwFzLqw" TargetMode="External"/><Relationship Id="rId400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a0V6Y0e3TkSoGHRLKa6Iww&amp;viewModel=detail&amp;moduleId=folders" TargetMode="External"/><Relationship Id="rId29" Type="http://schemas.openxmlformats.org/officeDocument/2006/relationships/hyperlink" Target="https://acc.autodesk.com/build/files/projects/1e597176-a716-43f8-be36-fdbb47ecdee5?folderUrn=urn:adsk.wipprod:fs.folder:co.Qy7tJjVUQXqthtbCwFzLqw" TargetMode="External"/><Relationship Id="rId11" Type="http://schemas.openxmlformats.org/officeDocument/2006/relationships/hyperlink" Target="https://acc.autodesk.com/build/files/projects/1e597176-a716-43f8-be36-fdbb47ecdee5?folderUrn=urn:adsk.wipprod:fs.folder:co.Qy7tJjVUQXqthtbCwFzLqw" TargetMode="External"/><Relationship Id="rId10" Type="http://schemas.openxmlformats.org/officeDocument/2006/relationships/hyperlink" Target="https://acc.autodesk.com/build/files/projects/1e597176-a716-43f8-be36-fdbb47ecdee5?folderUrn=urn:adsk.wipprod:fs.folder:co.Qy7tJjVUQXqthtbCwFzLqw&amp;entityId=urn:adsk.wipprod:dm.lineage:qxjfV1fnT7K3UP-EyMdt3A&amp;viewModel=detail&amp;moduleId=folders" TargetMode="External"/><Relationship Id="rId13" Type="http://schemas.openxmlformats.org/officeDocument/2006/relationships/hyperlink" Target="https://acc.autodesk.com/build/files/projects/1e597176-a716-43f8-be36-fdbb47ecdee5?folderUrn=urn:adsk.wipprod:fs.folder:co.Qy7tJjVUQXqthtbCwFzLqw" TargetMode="External"/><Relationship Id="rId12" Type="http://schemas.openxmlformats.org/officeDocument/2006/relationships/hyperlink" Target="https://acc.autodesk.com/build/files/projects/1e597176-a716-43f8-be36-fdbb47ecdee5?folderUrn=urn:adsk.wipprod:fs.folder:co.Qy7tJjVUQXqthtbCwFzLqw&amp;entityId=urn:adsk.wipprod:dm.lineage:99ZNe-xtTfKX5MnUO9Kbnw&amp;viewModel=detail&amp;moduleId=folders" TargetMode="External"/><Relationship Id="rId15" Type="http://schemas.openxmlformats.org/officeDocument/2006/relationships/hyperlink" Target="https://acc.autodesk.com/build/files/projects/1e597176-a716-43f8-be36-fdbb47ecdee5?folderUrn=urn:adsk.wipprod:fs.folder:co.Qy7tJjVUQXqthtbCwFzLqw" TargetMode="External"/><Relationship Id="rId14" Type="http://schemas.openxmlformats.org/officeDocument/2006/relationships/hyperlink" Target="https://acc.autodesk.com/build/files/projects/1e597176-a716-43f8-be36-fdbb47ecdee5?folderUrn=urn:adsk.wipprod:fs.folder:co.Qy7tJjVUQXqthtbCwFzLqw&amp;entityId=urn:adsk.wipprod:dm.lineage:A60j88ZmRLOnsrVJuAvUzw&amp;viewModel=detail&amp;moduleId=folders" TargetMode="External"/><Relationship Id="rId17" Type="http://schemas.openxmlformats.org/officeDocument/2006/relationships/hyperlink" Target="https://acc.autodesk.com/build/files/projects/1e597176-a716-43f8-be36-fdbb47ecdee5?folderUrn=urn:adsk.wipprod:fs.folder:co.Qy7tJjVUQXqthtbCwFzLqw" TargetMode="External"/><Relationship Id="rId16" Type="http://schemas.openxmlformats.org/officeDocument/2006/relationships/hyperlink" Target="https://acc.autodesk.com/build/files/projects/1e597176-a716-43f8-be36-fdbb47ecdee5?folderUrn=urn:adsk.wipprod:fs.folder:co.Qy7tJjVUQXqthtbCwFzLqw&amp;entityId=urn:adsk.wipprod:dm.lineage:GjubL2bNRGuIYf0RZSQcHw&amp;viewModel=detail&amp;moduleId=folders" TargetMode="External"/><Relationship Id="rId19" Type="http://schemas.openxmlformats.org/officeDocument/2006/relationships/hyperlink" Target="https://acc.autodesk.com/build/files/projects/1e597176-a716-43f8-be36-fdbb47ecdee5?folderUrn=urn:adsk.wipprod:fs.folder:co.Qy7tJjVUQXqthtbCwFzLqw" TargetMode="External"/><Relationship Id="rId18" Type="http://schemas.openxmlformats.org/officeDocument/2006/relationships/hyperlink" Target="https://acc.autodesk.com/build/files/projects/1e597176-a716-43f8-be36-fdbb47ecdee5?folderUrn=urn:adsk.wipprod:fs.folder:co.Qy7tJjVUQXqthtbCwFzLqw&amp;entityId=urn:adsk.wipprod:dm.lineage:-o0Itu5rSFGCeBsXAcACPw&amp;viewModel=detail&amp;moduleId=folders" TargetMode="External"/><Relationship Id="rId84" Type="http://schemas.openxmlformats.org/officeDocument/2006/relationships/hyperlink" Target="https://acc.autodesk.com/build/files/projects/1e597176-a716-43f8-be36-fdbb47ecdee5?folderUrn=urn:adsk.wipprod:fs.folder:co.Itzia5npTcCaCtKM9vy6zg&amp;entityId=urn:adsk.wipprod:dm.lineage:cxEh2Vy3TNOMoRo47B8NFw&amp;viewModel=detail&amp;moduleId=folders" TargetMode="External"/><Relationship Id="rId83" Type="http://schemas.openxmlformats.org/officeDocument/2006/relationships/hyperlink" Target="https://acc.autodesk.com/build/files/projects/1e597176-a716-43f8-be36-fdbb47ecdee5?folderUrn=urn:adsk.wipprod:fs.folder:co.Itzia5npTcCaCtKM9vy6zg" TargetMode="External"/><Relationship Id="rId86" Type="http://schemas.openxmlformats.org/officeDocument/2006/relationships/hyperlink" Target="https://acc.autodesk.com/build/files/projects/1e597176-a716-43f8-be36-fdbb47ecdee5?folderUrn=urn:adsk.wipprod:fs.folder:co.Itzia5npTcCaCtKM9vy6zg&amp;entityId=urn:adsk.wipprod:dm.lineage:ZEpgXAOkTAuUcXt4fFai_w&amp;viewModel=detail&amp;moduleId=folders" TargetMode="External"/><Relationship Id="rId85" Type="http://schemas.openxmlformats.org/officeDocument/2006/relationships/hyperlink" Target="https://acc.autodesk.com/build/files/projects/1e597176-a716-43f8-be36-fdbb47ecdee5?folderUrn=urn:adsk.wipprod:fs.folder:co.Itzia5npTcCaCtKM9vy6zg" TargetMode="External"/><Relationship Id="rId88" Type="http://schemas.openxmlformats.org/officeDocument/2006/relationships/hyperlink" Target="https://acc.autodesk.com/build/files/projects/1e597176-a716-43f8-be36-fdbb47ecdee5?folderUrn=urn:adsk.wipprod:fs.folder:co.Itzia5npTcCaCtKM9vy6zg&amp;entityId=urn:adsk.wipprod:dm.lineage:_qVZX_VWRNScfvGG1u2bhw&amp;viewModel=detail&amp;moduleId=folders" TargetMode="External"/><Relationship Id="rId87" Type="http://schemas.openxmlformats.org/officeDocument/2006/relationships/hyperlink" Target="https://acc.autodesk.com/build/files/projects/1e597176-a716-43f8-be36-fdbb47ecdee5?folderUrn=urn:adsk.wipprod:fs.folder:co.Itzia5npTcCaCtKM9vy6zg" TargetMode="External"/><Relationship Id="rId89" Type="http://schemas.openxmlformats.org/officeDocument/2006/relationships/hyperlink" Target="https://acc.autodesk.com/build/files/projects/1e597176-a716-43f8-be36-fdbb47ecdee5?folderUrn=urn:adsk.wipprod:fs.folder:co.Itzia5npTcCaCtKM9vy6zg" TargetMode="External"/><Relationship Id="rId80" Type="http://schemas.openxmlformats.org/officeDocument/2006/relationships/hyperlink" Target="https://acc.autodesk.com/build/files/projects/1e597176-a716-43f8-be36-fdbb47ecdee5?folderUrn=urn:adsk.wipprod:fs.folder:co.Itzia5npTcCaCtKM9vy6zg&amp;entityId=urn:adsk.wipprod:dm.lineage:9weVgxQaQHmMCCfIaPJe7w&amp;viewModel=detail&amp;moduleId=folders" TargetMode="External"/><Relationship Id="rId82" Type="http://schemas.openxmlformats.org/officeDocument/2006/relationships/hyperlink" Target="https://acc.autodesk.com/build/files/projects/1e597176-a716-43f8-be36-fdbb47ecdee5?folderUrn=urn:adsk.wipprod:fs.folder:co.Itzia5npTcCaCtKM9vy6zg&amp;entityId=urn:adsk.wipprod:dm.lineage:_K4INpQuQjSEm8WO2_r6CA&amp;viewModel=detail&amp;moduleId=folders" TargetMode="External"/><Relationship Id="rId81" Type="http://schemas.openxmlformats.org/officeDocument/2006/relationships/hyperlink" Target="https://acc.autodesk.com/build/files/projects/1e597176-a716-43f8-be36-fdbb47ecdee5?folderUrn=urn:adsk.wipprod:fs.folder:co.Itzia5npTcCaCtKM9vy6zg" TargetMode="External"/><Relationship Id="rId73" Type="http://schemas.openxmlformats.org/officeDocument/2006/relationships/hyperlink" Target="https://acc.autodesk.com/build/files/projects/1e597176-a716-43f8-be36-fdbb47ecdee5?folderUrn=urn:adsk.wipprod:fs.folder:co.Itzia5npTcCaCtKM9vy6zg" TargetMode="External"/><Relationship Id="rId72" Type="http://schemas.openxmlformats.org/officeDocument/2006/relationships/hyperlink" Target="https://acc.autodesk.com/build/files/projects/1e597176-a716-43f8-be36-fdbb47ecdee5?folderUrn=urn:adsk.wipprod:fs.folder:co.Itzia5npTcCaCtKM9vy6zg&amp;entityId=urn:adsk.wipprod:dm.lineage:hU7xGnddQvWNMK0VXSwiPQ&amp;viewModel=detail&amp;moduleId=folders" TargetMode="External"/><Relationship Id="rId75" Type="http://schemas.openxmlformats.org/officeDocument/2006/relationships/hyperlink" Target="https://acc.autodesk.com/build/files/projects/1e597176-a716-43f8-be36-fdbb47ecdee5?folderUrn=urn:adsk.wipprod:fs.folder:co.Itzia5npTcCaCtKM9vy6zg" TargetMode="External"/><Relationship Id="rId74" Type="http://schemas.openxmlformats.org/officeDocument/2006/relationships/hyperlink" Target="https://acc.autodesk.com/build/files/projects/1e597176-a716-43f8-be36-fdbb47ecdee5?folderUrn=urn:adsk.wipprod:fs.folder:co.Itzia5npTcCaCtKM9vy6zg&amp;entityId=urn:adsk.wipprod:dm.lineage:BR0EksulRDm-J9CZGQRsRg&amp;viewModel=detail&amp;moduleId=folders" TargetMode="External"/><Relationship Id="rId77" Type="http://schemas.openxmlformats.org/officeDocument/2006/relationships/hyperlink" Target="https://acc.autodesk.com/build/files/projects/1e597176-a716-43f8-be36-fdbb47ecdee5?folderUrn=urn:adsk.wipprod:fs.folder:co.Itzia5npTcCaCtKM9vy6zg" TargetMode="External"/><Relationship Id="rId76" Type="http://schemas.openxmlformats.org/officeDocument/2006/relationships/hyperlink" Target="https://acc.autodesk.com/build/files/projects/1e597176-a716-43f8-be36-fdbb47ecdee5?folderUrn=urn:adsk.wipprod:fs.folder:co.Itzia5npTcCaCtKM9vy6zg&amp;entityId=urn:adsk.wipprod:dm.lineage:rJq-PQ5TRXOL6cDaHVyf9g&amp;viewModel=detail&amp;moduleId=folders" TargetMode="External"/><Relationship Id="rId79" Type="http://schemas.openxmlformats.org/officeDocument/2006/relationships/hyperlink" Target="https://acc.autodesk.com/build/files/projects/1e597176-a716-43f8-be36-fdbb47ecdee5?folderUrn=urn:adsk.wipprod:fs.folder:co.Itzia5npTcCaCtKM9vy6zg" TargetMode="External"/><Relationship Id="rId78" Type="http://schemas.openxmlformats.org/officeDocument/2006/relationships/hyperlink" Target="https://acc.autodesk.com/build/files/projects/1e597176-a716-43f8-be36-fdbb47ecdee5?folderUrn=urn:adsk.wipprod:fs.folder:co.Itzia5npTcCaCtKM9vy6zg&amp;entityId=urn:adsk.wipprod:dm.lineage:WanSXtdCQlaI8g-UzVJcTg&amp;viewModel=detail&amp;moduleId=folders" TargetMode="External"/><Relationship Id="rId71" Type="http://schemas.openxmlformats.org/officeDocument/2006/relationships/hyperlink" Target="https://acc.autodesk.com/build/files/projects/1e597176-a716-43f8-be36-fdbb47ecdee5?folderUrn=urn:adsk.wipprod:fs.folder:co.Itzia5npTcCaCtKM9vy6zg" TargetMode="External"/><Relationship Id="rId70" Type="http://schemas.openxmlformats.org/officeDocument/2006/relationships/hyperlink" Target="https://acc.autodesk.com/build/files/projects/1e597176-a716-43f8-be36-fdbb47ecdee5?folderUrn=urn:adsk.wipprod:fs.folder:co.Itzia5npTcCaCtKM9vy6zg&amp;entityId=urn:adsk.wipprod:dm.lineage:RGrj_jt6QTOGqDQ-pyKt2g&amp;viewModel=detail&amp;moduleId=folders" TargetMode="External"/><Relationship Id="rId62" Type="http://schemas.openxmlformats.org/officeDocument/2006/relationships/hyperlink" Target="https://acc.autodesk.com/build/files/projects/1e597176-a716-43f8-be36-fdbb47ecdee5?folderUrn=urn:adsk.wipprod:fs.folder:co.Itzia5npTcCaCtKM9vy6zg&amp;entityId=urn:adsk.wipprod:dm.lineage:03_PmTnoTCuM0YYCZgDCmA&amp;viewModel=detail&amp;moduleId=folders" TargetMode="External"/><Relationship Id="rId61" Type="http://schemas.openxmlformats.org/officeDocument/2006/relationships/hyperlink" Target="https://acc.autodesk.com/build/files/projects/1e597176-a716-43f8-be36-fdbb47ecdee5?folderUrn=urn:adsk.wipprod:fs.folder:co.Itzia5npTcCaCtKM9vy6zg" TargetMode="External"/><Relationship Id="rId64" Type="http://schemas.openxmlformats.org/officeDocument/2006/relationships/hyperlink" Target="https://acc.autodesk.com/build/files/projects/1e597176-a716-43f8-be36-fdbb47ecdee5?folderUrn=urn:adsk.wipprod:fs.folder:co.Itzia5npTcCaCtKM9vy6zg&amp;entityId=urn:adsk.wipprod:dm.lineage:KslZNVZHSEWpQ5NYj-BHzw&amp;viewModel=detail&amp;moduleId=folders" TargetMode="External"/><Relationship Id="rId63" Type="http://schemas.openxmlformats.org/officeDocument/2006/relationships/hyperlink" Target="https://acc.autodesk.com/build/files/projects/1e597176-a716-43f8-be36-fdbb47ecdee5?folderUrn=urn:adsk.wipprod:fs.folder:co.Itzia5npTcCaCtKM9vy6zg" TargetMode="External"/><Relationship Id="rId66" Type="http://schemas.openxmlformats.org/officeDocument/2006/relationships/hyperlink" Target="https://acc.autodesk.com/build/files/projects/1e597176-a716-43f8-be36-fdbb47ecdee5?folderUrn=urn:adsk.wipprod:fs.folder:co.Itzia5npTcCaCtKM9vy6zg&amp;entityId=urn:adsk.wipprod:dm.lineage:Riqn7pFHTcGF5xD0WMCbEA&amp;viewModel=detail&amp;moduleId=folders" TargetMode="External"/><Relationship Id="rId65" Type="http://schemas.openxmlformats.org/officeDocument/2006/relationships/hyperlink" Target="https://acc.autodesk.com/build/files/projects/1e597176-a716-43f8-be36-fdbb47ecdee5?folderUrn=urn:adsk.wipprod:fs.folder:co.Itzia5npTcCaCtKM9vy6zg" TargetMode="External"/><Relationship Id="rId68" Type="http://schemas.openxmlformats.org/officeDocument/2006/relationships/hyperlink" Target="https://acc.autodesk.com/build/files/projects/1e597176-a716-43f8-be36-fdbb47ecdee5?folderUrn=urn:adsk.wipprod:fs.folder:co.Itzia5npTcCaCtKM9vy6zg&amp;entityId=urn:adsk.wipprod:dm.lineage:5QWAfd5ETpKc-YrSDiqbsA&amp;viewModel=detail&amp;moduleId=folders" TargetMode="External"/><Relationship Id="rId67" Type="http://schemas.openxmlformats.org/officeDocument/2006/relationships/hyperlink" Target="https://acc.autodesk.com/build/files/projects/1e597176-a716-43f8-be36-fdbb47ecdee5?folderUrn=urn:adsk.wipprod:fs.folder:co.Itzia5npTcCaCtKM9vy6zg" TargetMode="External"/><Relationship Id="rId60" Type="http://schemas.openxmlformats.org/officeDocument/2006/relationships/hyperlink" Target="https://acc.autodesk.com/build/files/projects/1e597176-a716-43f8-be36-fdbb47ecdee5?folderUrn=urn:adsk.wipprod:fs.folder:co.Itzia5npTcCaCtKM9vy6zg&amp;entityId=urn:adsk.wipprod:dm.lineage:wKvIUVprTv2Rg1fTsTajxw&amp;viewModel=detail&amp;moduleId=folders" TargetMode="External"/><Relationship Id="rId69" Type="http://schemas.openxmlformats.org/officeDocument/2006/relationships/hyperlink" Target="https://acc.autodesk.com/build/files/projects/1e597176-a716-43f8-be36-fdbb47ecdee5?folderUrn=urn:adsk.wipprod:fs.folder:co.Itzia5npTcCaCtKM9vy6zg" TargetMode="External"/><Relationship Id="rId51" Type="http://schemas.openxmlformats.org/officeDocument/2006/relationships/hyperlink" Target="https://acc.autodesk.com/build/files/projects/1e597176-a716-43f8-be36-fdbb47ecdee5?folderUrn=urn:adsk.wipprod:fs.folder:co.wJHjelD6T-iDsdI_TUgOIw" TargetMode="External"/><Relationship Id="rId50" Type="http://schemas.openxmlformats.org/officeDocument/2006/relationships/hyperlink" Target="https://acc.autodesk.com/build/files/projects/1e597176-a716-43f8-be36-fdbb47ecdee5?folderUrn=urn:adsk.wipprod:fs.folder:co.wJHjelD6T-iDsdI_TUgOIw&amp;entityId=urn:adsk.wipprod:dm.lineage:clVkLtSqQGSo-5LvEzqZaA&amp;viewModel=detail&amp;moduleId=folders" TargetMode="External"/><Relationship Id="rId53" Type="http://schemas.openxmlformats.org/officeDocument/2006/relationships/hyperlink" Target="https://acc.autodesk.com/build/files/projects/1e597176-a716-43f8-be36-fdbb47ecdee5?folderUrn=urn:adsk.wipprod:fs.folder:co.wJHjelD6T-iDsdI_TUgOIw" TargetMode="External"/><Relationship Id="rId52" Type="http://schemas.openxmlformats.org/officeDocument/2006/relationships/hyperlink" Target="https://acc.autodesk.com/build/files/projects/1e597176-a716-43f8-be36-fdbb47ecdee5?folderUrn=urn:adsk.wipprod:fs.folder:co.wJHjelD6T-iDsdI_TUgOIw&amp;entityId=urn:adsk.wipprod:dm.lineage:59TyTcuiTNO_khn0aiWbMw&amp;viewModel=detail&amp;moduleId=folders" TargetMode="External"/><Relationship Id="rId55" Type="http://schemas.openxmlformats.org/officeDocument/2006/relationships/hyperlink" Target="https://acc.autodesk.com/build/files/projects/1e597176-a716-43f8-be36-fdbb47ecdee5?folderUrn=urn:adsk.wipprod:fs.folder:co.wJHjelD6T-iDsdI_TUgOIw" TargetMode="External"/><Relationship Id="rId54" Type="http://schemas.openxmlformats.org/officeDocument/2006/relationships/hyperlink" Target="https://acc.autodesk.com/build/files/projects/1e597176-a716-43f8-be36-fdbb47ecdee5?folderUrn=urn:adsk.wipprod:fs.folder:co.wJHjelD6T-iDsdI_TUgOIw&amp;entityId=urn:adsk.wipprod:dm.lineage:GJoCKGiJRDObkSpQVIv48A&amp;viewModel=detail&amp;moduleId=folders" TargetMode="External"/><Relationship Id="rId57" Type="http://schemas.openxmlformats.org/officeDocument/2006/relationships/hyperlink" Target="https://acc.autodesk.com/build/files/projects/1e597176-a716-43f8-be36-fdbb47ecdee5?folderUrn=urn:adsk.wipprod:fs.folder:co.wJHjelD6T-iDsdI_TUgOIw" TargetMode="External"/><Relationship Id="rId56" Type="http://schemas.openxmlformats.org/officeDocument/2006/relationships/hyperlink" Target="https://acc.autodesk.com/build/files/projects/1e597176-a716-43f8-be36-fdbb47ecdee5?folderUrn=urn:adsk.wipprod:fs.folder:co.wJHjelD6T-iDsdI_TUgOIw&amp;entityId=urn:adsk.wipprod:dm.lineage:vQRM5_43S9iNYF9U3nUgZQ&amp;viewModel=detail&amp;moduleId=folders" TargetMode="External"/><Relationship Id="rId59" Type="http://schemas.openxmlformats.org/officeDocument/2006/relationships/hyperlink" Target="https://acc.autodesk.com/build/files/projects/1e597176-a716-43f8-be36-fdbb47ecdee5?folderUrn=urn:adsk.wipprod:fs.folder:co.Itzia5npTcCaCtKM9vy6zg" TargetMode="External"/><Relationship Id="rId58" Type="http://schemas.openxmlformats.org/officeDocument/2006/relationships/hyperlink" Target="https://acc.autodesk.com/build/files/projects/1e597176-a716-43f8-be36-fdbb47ecdee5?folderUrn=urn:adsk.wipprod:fs.folder:co.wJHjelD6T-iDsdI_TUgOIw&amp;entityId=urn:adsk.wipprod:dm.lineage:_9GyfK2oQaCB9yu_ITzxxA&amp;viewModel=detail&amp;moduleId=folders" TargetMode="External"/><Relationship Id="rId107" Type="http://schemas.openxmlformats.org/officeDocument/2006/relationships/hyperlink" Target="https://acc.autodesk.com/build/files/projects/1e597176-a716-43f8-be36-fdbb47ecdee5?folderUrn=urn:adsk.wipprod:fs.folder:co.M8BwkpPFTwm0h2gRoHD-sQ" TargetMode="External"/><Relationship Id="rId228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RFQ6CwuGSGW7jgyAV5zLeA&amp;viewModel=detail&amp;moduleId=folders" TargetMode="External"/><Relationship Id="rId349" Type="http://schemas.openxmlformats.org/officeDocument/2006/relationships/hyperlink" Target="https://acc.autodesk.com/build/files/projects/1e597176-a716-43f8-be36-fdbb47ecdee5?folderUrn=urn:adsk.wipprod:fs.folder:co.bz21ao8BRRyrw6m_EIgMPw" TargetMode="External"/><Relationship Id="rId106" Type="http://schemas.openxmlformats.org/officeDocument/2006/relationships/hyperlink" Target="https://acc.autodesk.com/build/files/projects/1e597176-a716-43f8-be36-fdbb47ecdee5?folderUrn=urn:adsk.wipprod:fs.folder:co.QsHNp-BFTfm5i1BggS3Kgw&amp;entityId=urn:adsk.wipprod:dm.lineage:FkrO_dJwSiWVC8ZN5YUS1A&amp;viewModel=detail&amp;moduleId=folders" TargetMode="External"/><Relationship Id="rId227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348" Type="http://schemas.openxmlformats.org/officeDocument/2006/relationships/hyperlink" Target="https://acc.autodesk.com/build/files/projects/1e597176-a716-43f8-be36-fdbb47ecdee5?folderUrn=urn:adsk.wipprod:fs.folder:co.bz21ao8BRRyrw6m_EIgMPw&amp;entityId=urn:adsk.wipprod:dm.lineage:jFYwGpaKTHyD8F_rE56EYg&amp;viewModel=detail&amp;moduleId=folders" TargetMode="External"/><Relationship Id="rId105" Type="http://schemas.openxmlformats.org/officeDocument/2006/relationships/hyperlink" Target="https://acc.autodesk.com/build/files/projects/1e597176-a716-43f8-be36-fdbb47ecdee5?folderUrn=urn:adsk.wipprod:fs.folder:co.QsHNp-BFTfm5i1BggS3Kgw" TargetMode="External"/><Relationship Id="rId226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8WbC_kKZSImTHAmJYsuKdQ&amp;viewModel=detail&amp;moduleId=folders" TargetMode="External"/><Relationship Id="rId347" Type="http://schemas.openxmlformats.org/officeDocument/2006/relationships/hyperlink" Target="https://acc.autodesk.com/build/files/projects/1e597176-a716-43f8-be36-fdbb47ecdee5?folderUrn=urn:adsk.wipprod:fs.folder:co.bz21ao8BRRyrw6m_EIgMPw" TargetMode="External"/><Relationship Id="rId104" Type="http://schemas.openxmlformats.org/officeDocument/2006/relationships/hyperlink" Target="https://acc.autodesk.com/build/files/projects/1e597176-a716-43f8-be36-fdbb47ecdee5?folderUrn=urn:adsk.wipprod:fs.folder:co.QsHNp-BFTfm5i1BggS3Kgw&amp;entityId=urn:adsk.wipprod:dm.lineage:wEBWQlO8Q0KKklbV9V0uGg&amp;viewModel=detail&amp;moduleId=folders" TargetMode="External"/><Relationship Id="rId225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346" Type="http://schemas.openxmlformats.org/officeDocument/2006/relationships/hyperlink" Target="https://acc.autodesk.com/build/files/projects/1e597176-a716-43f8-be36-fdbb47ecdee5?folderUrn=urn:adsk.wipprod:fs.folder:co.bz21ao8BRRyrw6m_EIgMPw&amp;entityId=urn:adsk.wipprod:dm.lineage:CGF7kt-kS6yaQWm8vSnOwg&amp;viewModel=detail&amp;moduleId=folders" TargetMode="External"/><Relationship Id="rId109" Type="http://schemas.openxmlformats.org/officeDocument/2006/relationships/hyperlink" Target="https://acc.autodesk.com/build/files/projects/1e597176-a716-43f8-be36-fdbb47ecdee5?folderUrn=urn:adsk.wipprod:fs.folder:co.M8BwkpPFTwm0h2gRoHD-sQ" TargetMode="External"/><Relationship Id="rId108" Type="http://schemas.openxmlformats.org/officeDocument/2006/relationships/hyperlink" Target="https://acc.autodesk.com/build/files/projects/1e597176-a716-43f8-be36-fdbb47ecdee5?folderUrn=urn:adsk.wipprod:fs.folder:co.M8BwkpPFTwm0h2gRoHD-sQ&amp;entityId=urn:adsk.wipprod:dm.lineage:gq4Ukki5SHKzwklsna6NXA&amp;viewModel=detail&amp;moduleId=folders" TargetMode="External"/><Relationship Id="rId229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220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UkgaDgJDRA2ROu-cPwyXuA&amp;viewModel=detail&amp;moduleId=folders" TargetMode="External"/><Relationship Id="rId341" Type="http://schemas.openxmlformats.org/officeDocument/2006/relationships/hyperlink" Target="https://acc.autodesk.com/build/files/projects/1e597176-a716-43f8-be36-fdbb47ecdee5?folderUrn=urn:adsk.wipprod:fs.folder:co.bz21ao8BRRyrw6m_EIgMPw" TargetMode="External"/><Relationship Id="rId340" Type="http://schemas.openxmlformats.org/officeDocument/2006/relationships/hyperlink" Target="https://acc.autodesk.com/build/files/projects/1e597176-a716-43f8-be36-fdbb47ecdee5?folderUrn=urn:adsk.wipprod:fs.folder:co.bz21ao8BRRyrw6m_EIgMPw&amp;entityId=urn:adsk.wipprod:dm.lineage:gNLQbgUpRIGMTIkVRYPdbw&amp;viewModel=detail&amp;moduleId=folders" TargetMode="External"/><Relationship Id="rId103" Type="http://schemas.openxmlformats.org/officeDocument/2006/relationships/hyperlink" Target="https://acc.autodesk.com/build/files/projects/1e597176-a716-43f8-be36-fdbb47ecdee5?folderUrn=urn:adsk.wipprod:fs.folder:co.QsHNp-BFTfm5i1BggS3Kgw" TargetMode="External"/><Relationship Id="rId224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V-CY0Qv9Sv6z7x3zxwdFjw&amp;viewModel=detail&amp;moduleId=folders" TargetMode="External"/><Relationship Id="rId345" Type="http://schemas.openxmlformats.org/officeDocument/2006/relationships/hyperlink" Target="https://acc.autodesk.com/build/files/projects/1e597176-a716-43f8-be36-fdbb47ecdee5?folderUrn=urn:adsk.wipprod:fs.folder:co.bz21ao8BRRyrw6m_EIgMPw" TargetMode="External"/><Relationship Id="rId102" Type="http://schemas.openxmlformats.org/officeDocument/2006/relationships/hyperlink" Target="https://acc.autodesk.com/build/files/projects/1e597176-a716-43f8-be36-fdbb47ecdee5?folderUrn=urn:adsk.wipprod:fs.folder:co.QsHNp-BFTfm5i1BggS3Kgw&amp;entityId=urn:adsk.wipprod:dm.lineage:bOlRFScMRwC_Pp_XhYkdRQ&amp;viewModel=detail&amp;moduleId=folders" TargetMode="External"/><Relationship Id="rId223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344" Type="http://schemas.openxmlformats.org/officeDocument/2006/relationships/hyperlink" Target="https://acc.autodesk.com/build/files/projects/1e597176-a716-43f8-be36-fdbb47ecdee5?folderUrn=urn:adsk.wipprod:fs.folder:co.bz21ao8BRRyrw6m_EIgMPw&amp;entityId=urn:adsk.wipprod:dm.lineage:ZpDEQeHiTlW3YBZhAnti7A&amp;viewModel=detail&amp;moduleId=folders" TargetMode="External"/><Relationship Id="rId101" Type="http://schemas.openxmlformats.org/officeDocument/2006/relationships/hyperlink" Target="https://acc.autodesk.com/build/files/projects/1e597176-a716-43f8-be36-fdbb47ecdee5?folderUrn=urn:adsk.wipprod:fs.folder:co.QsHNp-BFTfm5i1BggS3Kgw" TargetMode="External"/><Relationship Id="rId222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xNpREAEBQPOi6omBOMubew&amp;viewModel=detail&amp;moduleId=folders" TargetMode="External"/><Relationship Id="rId343" Type="http://schemas.openxmlformats.org/officeDocument/2006/relationships/hyperlink" Target="https://acc.autodesk.com/build/files/projects/1e597176-a716-43f8-be36-fdbb47ecdee5?folderUrn=urn:adsk.wipprod:fs.folder:co.bz21ao8BRRyrw6m_EIgMPw" TargetMode="External"/><Relationship Id="rId100" Type="http://schemas.openxmlformats.org/officeDocument/2006/relationships/hyperlink" Target="https://acc.autodesk.com/build/files/projects/1e597176-a716-43f8-be36-fdbb47ecdee5?folderUrn=urn:adsk.wipprod:fs.folder:co.QsHNp-BFTfm5i1BggS3Kgw&amp;entityId=urn:adsk.wipprod:dm.lineage:vpo0rGV7TwqHoDbrMGQdew&amp;viewModel=detail&amp;moduleId=folders" TargetMode="External"/><Relationship Id="rId221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342" Type="http://schemas.openxmlformats.org/officeDocument/2006/relationships/hyperlink" Target="https://acc.autodesk.com/build/files/projects/1e597176-a716-43f8-be36-fdbb47ecdee5?folderUrn=urn:adsk.wipprod:fs.folder:co.bz21ao8BRRyrw6m_EIgMPw&amp;entityId=urn:adsk.wipprod:dm.lineage:pOdaaGY_RfWRX0i39ramsw&amp;viewModel=detail&amp;moduleId=folders" TargetMode="External"/><Relationship Id="rId217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338" Type="http://schemas.openxmlformats.org/officeDocument/2006/relationships/hyperlink" Target="https://acc.autodesk.com/build/files/projects/1e597176-a716-43f8-be36-fdbb47ecdee5?folderUrn=urn:adsk.wipprod:fs.folder:co.bz21ao8BRRyrw6m_EIgMPw&amp;entityId=urn:adsk.wipprod:dm.lineage:v9ohU20WRt-2UZwXWJEyuQ&amp;viewModel=detail&amp;moduleId=folders" TargetMode="External"/><Relationship Id="rId216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Yw5J0or-TquM1WuKxHD4Ug&amp;viewModel=detail&amp;moduleId=folders" TargetMode="External"/><Relationship Id="rId337" Type="http://schemas.openxmlformats.org/officeDocument/2006/relationships/hyperlink" Target="https://acc.autodesk.com/build/files/projects/1e597176-a716-43f8-be36-fdbb47ecdee5?folderUrn=urn:adsk.wipprod:fs.folder:co.bz21ao8BRRyrw6m_EIgMPw" TargetMode="External"/><Relationship Id="rId215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336" Type="http://schemas.openxmlformats.org/officeDocument/2006/relationships/hyperlink" Target="https://acc.autodesk.com/build/files/projects/1e597176-a716-43f8-be36-fdbb47ecdee5?folderUrn=urn:adsk.wipprod:fs.folder:co.bz21ao8BRRyrw6m_EIgMPw&amp;entityId=urn:adsk.wipprod:dm.lineage:Xw2ob5fnRMOaePbZmLDKMg&amp;viewModel=detail&amp;moduleId=folders" TargetMode="External"/><Relationship Id="rId214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B-53FD36Rf6VIBdeVUL-xw&amp;viewModel=detail&amp;moduleId=folders" TargetMode="External"/><Relationship Id="rId335" Type="http://schemas.openxmlformats.org/officeDocument/2006/relationships/hyperlink" Target="https://acc.autodesk.com/build/files/projects/1e597176-a716-43f8-be36-fdbb47ecdee5?folderUrn=urn:adsk.wipprod:fs.folder:co.bz21ao8BRRyrw6m_EIgMPw" TargetMode="External"/><Relationship Id="rId219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218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qPtzX1BpROyBwZy59HI7vQ&amp;viewModel=detail&amp;moduleId=folders" TargetMode="External"/><Relationship Id="rId339" Type="http://schemas.openxmlformats.org/officeDocument/2006/relationships/hyperlink" Target="https://acc.autodesk.com/build/files/projects/1e597176-a716-43f8-be36-fdbb47ecdee5?folderUrn=urn:adsk.wipprod:fs.folder:co.bz21ao8BRRyrw6m_EIgMPw" TargetMode="External"/><Relationship Id="rId330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m1HYjkfETfSrYMF90HR5sQ&amp;viewModel=detail&amp;moduleId=folders" TargetMode="External"/><Relationship Id="rId213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334" Type="http://schemas.openxmlformats.org/officeDocument/2006/relationships/hyperlink" Target="https://acc.autodesk.com/build/files/projects/1e597176-a716-43f8-be36-fdbb47ecdee5?folderUrn=urn:adsk.wipprod:fs.folder:co.bz21ao8BRRyrw6m_EIgMPw&amp;entityId=urn:adsk.wipprod:dm.lineage:sHQyG4fDTZu13Pv21V-C_g&amp;viewModel=detail&amp;moduleId=folders" TargetMode="External"/><Relationship Id="rId212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hwlMc86vS6WT6pSUDpmKHg&amp;viewModel=detail&amp;moduleId=folders" TargetMode="External"/><Relationship Id="rId333" Type="http://schemas.openxmlformats.org/officeDocument/2006/relationships/hyperlink" Target="https://acc.autodesk.com/build/files/projects/1e597176-a716-43f8-be36-fdbb47ecdee5?folderUrn=urn:adsk.wipprod:fs.folder:co.bz21ao8BRRyrw6m_EIgMPw" TargetMode="External"/><Relationship Id="rId211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332" Type="http://schemas.openxmlformats.org/officeDocument/2006/relationships/hyperlink" Target="https://acc.autodesk.com/build/files/projects/1e597176-a716-43f8-be36-fdbb47ecdee5?folderUrn=urn:adsk.wipprod:fs.folder:co.bz21ao8BRRyrw6m_EIgMPw&amp;entityId=urn:adsk.wipprod:dm.lineage:XaGsXTFcRwCim6rASUy8Dw&amp;viewModel=detail&amp;moduleId=folders" TargetMode="External"/><Relationship Id="rId210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X4K88Uq9THmxHV__oyWbUw&amp;viewModel=detail&amp;moduleId=folders" TargetMode="External"/><Relationship Id="rId331" Type="http://schemas.openxmlformats.org/officeDocument/2006/relationships/hyperlink" Target="https://acc.autodesk.com/build/files/projects/1e597176-a716-43f8-be36-fdbb47ecdee5?folderUrn=urn:adsk.wipprod:fs.folder:co.bz21ao8BRRyrw6m_EIgMPw" TargetMode="External"/><Relationship Id="rId370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lmfeflz9TyaSc0asKsvJbQ&amp;viewModel=detail&amp;moduleId=folders" TargetMode="External"/><Relationship Id="rId129" Type="http://schemas.openxmlformats.org/officeDocument/2006/relationships/hyperlink" Target="https://acc.autodesk.com/build/files/projects/1e597176-a716-43f8-be36-fdbb47ecdee5?folderUrn=urn:adsk.wipprod:fs.folder:co.ZUedFvpiSlenX0IHVAo8cA" TargetMode="External"/><Relationship Id="rId128" Type="http://schemas.openxmlformats.org/officeDocument/2006/relationships/hyperlink" Target="https://acc.autodesk.com/build/files/projects/1e597176-a716-43f8-be36-fdbb47ecdee5?folderUrn=urn:adsk.wipprod:fs.folder:co.ZUedFvpiSlenX0IHVAo8cA&amp;entityId=urn:adsk.wipprod:dm.lineage:1YD9NM1aT4C_HatW7rD20Q&amp;viewModel=detail&amp;moduleId=folders" TargetMode="External"/><Relationship Id="rId249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127" Type="http://schemas.openxmlformats.org/officeDocument/2006/relationships/hyperlink" Target="https://acc.autodesk.com/build/files/projects/1e597176-a716-43f8-be36-fdbb47ecdee5?folderUrn=urn:adsk.wipprod:fs.folder:co.ZUedFvpiSlenX0IHVAo8cA" TargetMode="External"/><Relationship Id="rId248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p1L2QcnqRgGTgMkh2RO4Cw&amp;viewModel=detail&amp;moduleId=folders" TargetMode="External"/><Relationship Id="rId369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126" Type="http://schemas.openxmlformats.org/officeDocument/2006/relationships/hyperlink" Target="https://acc.autodesk.com/build/files/projects/1e597176-a716-43f8-be36-fdbb47ecdee5?folderUrn=urn:adsk.wipprod:fs.folder:co.ZUedFvpiSlenX0IHVAo8cA&amp;entityId=urn:adsk.wipprod:dm.lineage:h6FWJdF0RLWRk4jfM8G2IQ&amp;viewModel=detail&amp;moduleId=folders" TargetMode="External"/><Relationship Id="rId247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368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4OSe8S5YTOeFKzzOBYKRzg&amp;viewModel=detail&amp;moduleId=folders" TargetMode="External"/><Relationship Id="rId121" Type="http://schemas.openxmlformats.org/officeDocument/2006/relationships/hyperlink" Target="https://acc.autodesk.com/build/files/projects/1e597176-a716-43f8-be36-fdbb47ecdee5?folderUrn=urn:adsk.wipprod:fs.folder:co.P6KU4gmUR526k4wTa-dzMQ" TargetMode="External"/><Relationship Id="rId242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J3s39Eb2S8KUV2C50i6Ktg&amp;viewModel=detail&amp;moduleId=folders" TargetMode="External"/><Relationship Id="rId363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120" Type="http://schemas.openxmlformats.org/officeDocument/2006/relationships/hyperlink" Target="https://acc.autodesk.com/build/files/projects/1e597176-a716-43f8-be36-fdbb47ecdee5?folderUrn=urn:adsk.wipprod:fs.folder:co.P6KU4gmUR526k4wTa-dzMQ&amp;entityId=urn:adsk.wipprod:dm.lineage:BXjY90CLQe2-247m9-9LwA&amp;viewModel=detail&amp;moduleId=folders" TargetMode="External"/><Relationship Id="rId241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362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ROw1dUdUSb6CDhTB3IWUbg&amp;viewModel=detail&amp;moduleId=folders" TargetMode="External"/><Relationship Id="rId240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mpMBjFEzQKWaUhATHl4IPQ&amp;viewModel=detail&amp;moduleId=folders" TargetMode="External"/><Relationship Id="rId361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360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YfjfC5sHRY6xLjBEtfTEnQ&amp;viewModel=detail&amp;moduleId=folders" TargetMode="External"/><Relationship Id="rId125" Type="http://schemas.openxmlformats.org/officeDocument/2006/relationships/hyperlink" Target="https://acc.autodesk.com/build/files/projects/1e597176-a716-43f8-be36-fdbb47ecdee5?folderUrn=urn:adsk.wipprod:fs.folder:co.ZUedFvpiSlenX0IHVAo8cA" TargetMode="External"/><Relationship Id="rId246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DOGxse0pQYm0ztr8IANLog&amp;viewModel=detail&amp;moduleId=folders" TargetMode="External"/><Relationship Id="rId367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124" Type="http://schemas.openxmlformats.org/officeDocument/2006/relationships/hyperlink" Target="https://acc.autodesk.com/build/files/projects/1e597176-a716-43f8-be36-fdbb47ecdee5?folderUrn=urn:adsk.wipprod:fs.folder:co.P6KU4gmUR526k4wTa-dzMQ&amp;entityId=urn:adsk.wipprod:dm.lineage:Vx0uQ0CITJuVLsgqVdGAPA&amp;viewModel=detail&amp;moduleId=folders" TargetMode="External"/><Relationship Id="rId245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366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Tz9dctAmSWSQjmDRDR3fzA&amp;viewModel=detail&amp;moduleId=folders" TargetMode="External"/><Relationship Id="rId123" Type="http://schemas.openxmlformats.org/officeDocument/2006/relationships/hyperlink" Target="https://acc.autodesk.com/build/files/projects/1e597176-a716-43f8-be36-fdbb47ecdee5?folderUrn=urn:adsk.wipprod:fs.folder:co.P6KU4gmUR526k4wTa-dzMQ" TargetMode="External"/><Relationship Id="rId244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hOi-9RscRWiDu5YvBT823Q&amp;viewModel=detail&amp;moduleId=folders" TargetMode="External"/><Relationship Id="rId365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122" Type="http://schemas.openxmlformats.org/officeDocument/2006/relationships/hyperlink" Target="https://acc.autodesk.com/build/files/projects/1e597176-a716-43f8-be36-fdbb47ecdee5?folderUrn=urn:adsk.wipprod:fs.folder:co.P6KU4gmUR526k4wTa-dzMQ&amp;entityId=urn:adsk.wipprod:dm.lineage:VpucPsUIQAS83fr-tU9BBA&amp;viewModel=detail&amp;moduleId=folders" TargetMode="External"/><Relationship Id="rId243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364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YMlbHfAQSxy07T8UsQTL9A&amp;viewModel=detail&amp;moduleId=folders" TargetMode="External"/><Relationship Id="rId95" Type="http://schemas.openxmlformats.org/officeDocument/2006/relationships/hyperlink" Target="https://acc.autodesk.com/build/files/projects/1e597176-a716-43f8-be36-fdbb47ecdee5?folderUrn=urn:adsk.wipprod:fs.folder:co.Itzia5npTcCaCtKM9vy6zg" TargetMode="External"/><Relationship Id="rId94" Type="http://schemas.openxmlformats.org/officeDocument/2006/relationships/hyperlink" Target="https://acc.autodesk.com/build/files/projects/1e597176-a716-43f8-be36-fdbb47ecdee5?folderUrn=urn:adsk.wipprod:fs.folder:co.Itzia5npTcCaCtKM9vy6zg&amp;entityId=urn:adsk.wipprod:dm.lineage:vk393uX7RAqoDuqLm9-e3w&amp;viewModel=detail&amp;moduleId=folders" TargetMode="External"/><Relationship Id="rId97" Type="http://schemas.openxmlformats.org/officeDocument/2006/relationships/hyperlink" Target="https://acc.autodesk.com/build/files/projects/1e597176-a716-43f8-be36-fdbb47ecdee5?folderUrn=urn:adsk.wipprod:fs.folder:co.Itzia5npTcCaCtKM9vy6zg" TargetMode="External"/><Relationship Id="rId96" Type="http://schemas.openxmlformats.org/officeDocument/2006/relationships/hyperlink" Target="https://acc.autodesk.com/build/files/projects/1e597176-a716-43f8-be36-fdbb47ecdee5?folderUrn=urn:adsk.wipprod:fs.folder:co.Itzia5npTcCaCtKM9vy6zg&amp;entityId=urn:adsk.wipprod:dm.lineage:e0ojgxQES7-wkPCd6qc1Mg&amp;viewModel=detail&amp;moduleId=folders" TargetMode="External"/><Relationship Id="rId99" Type="http://schemas.openxmlformats.org/officeDocument/2006/relationships/hyperlink" Target="https://acc.autodesk.com/build/files/projects/1e597176-a716-43f8-be36-fdbb47ecdee5?folderUrn=urn:adsk.wipprod:fs.folder:co.QsHNp-BFTfm5i1BggS3Kgw" TargetMode="External"/><Relationship Id="rId98" Type="http://schemas.openxmlformats.org/officeDocument/2006/relationships/hyperlink" Target="https://acc.autodesk.com/build/files/projects/1e597176-a716-43f8-be36-fdbb47ecdee5?folderUrn=urn:adsk.wipprod:fs.folder:co.Itzia5npTcCaCtKM9vy6zg&amp;entityId=urn:adsk.wipprod:dm.lineage:bUWaUEK7R6q6G2RcIJI1GQ&amp;viewModel=detail&amp;moduleId=folders" TargetMode="External"/><Relationship Id="rId91" Type="http://schemas.openxmlformats.org/officeDocument/2006/relationships/hyperlink" Target="https://acc.autodesk.com/build/files/projects/1e597176-a716-43f8-be36-fdbb47ecdee5?folderUrn=urn:adsk.wipprod:fs.folder:co.Itzia5npTcCaCtKM9vy6zg" TargetMode="External"/><Relationship Id="rId90" Type="http://schemas.openxmlformats.org/officeDocument/2006/relationships/hyperlink" Target="https://acc.autodesk.com/build/files/projects/1e597176-a716-43f8-be36-fdbb47ecdee5?folderUrn=urn:adsk.wipprod:fs.folder:co.Itzia5npTcCaCtKM9vy6zg&amp;entityId=urn:adsk.wipprod:dm.lineage:F9nqGxToR9GE6_M2ieDrYw&amp;viewModel=detail&amp;moduleId=folders" TargetMode="External"/><Relationship Id="rId93" Type="http://schemas.openxmlformats.org/officeDocument/2006/relationships/hyperlink" Target="https://acc.autodesk.com/build/files/projects/1e597176-a716-43f8-be36-fdbb47ecdee5?folderUrn=urn:adsk.wipprod:fs.folder:co.Itzia5npTcCaCtKM9vy6zg" TargetMode="External"/><Relationship Id="rId92" Type="http://schemas.openxmlformats.org/officeDocument/2006/relationships/hyperlink" Target="https://acc.autodesk.com/build/files/projects/1e597176-a716-43f8-be36-fdbb47ecdee5?folderUrn=urn:adsk.wipprod:fs.folder:co.Itzia5npTcCaCtKM9vy6zg&amp;entityId=urn:adsk.wipprod:dm.lineage:dk1ZfQ5TSwC-8_NtKmxKqQ&amp;viewModel=detail&amp;moduleId=folders" TargetMode="External"/><Relationship Id="rId118" Type="http://schemas.openxmlformats.org/officeDocument/2006/relationships/hyperlink" Target="https://acc.autodesk.com/build/files/projects/1e597176-a716-43f8-be36-fdbb47ecdee5?folderUrn=urn:adsk.wipprod:fs.folder:co.P6KU4gmUR526k4wTa-dzMQ&amp;entityId=urn:adsk.wipprod:dm.lineage:VAd67o_WQLqlAMS4UCumHQ&amp;viewModel=detail&amp;moduleId=folders" TargetMode="External"/><Relationship Id="rId239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117" Type="http://schemas.openxmlformats.org/officeDocument/2006/relationships/hyperlink" Target="https://acc.autodesk.com/build/files/projects/1e597176-a716-43f8-be36-fdbb47ecdee5?folderUrn=urn:adsk.wipprod:fs.folder:co.P6KU4gmUR526k4wTa-dzMQ" TargetMode="External"/><Relationship Id="rId238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3F-NPRwOQ3-t_-d9TWfrFQ&amp;viewModel=detail&amp;moduleId=folders" TargetMode="External"/><Relationship Id="rId359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116" Type="http://schemas.openxmlformats.org/officeDocument/2006/relationships/hyperlink" Target="https://acc.autodesk.com/build/files/projects/1e597176-a716-43f8-be36-fdbb47ecdee5?folderUrn=urn:adsk.wipprod:fs.folder:co.P6KU4gmUR526k4wTa-dzMQ&amp;entityId=urn:adsk.wipprod:dm.lineage:EzRughBuRLyVlyfGYsN2RA&amp;viewModel=detail&amp;moduleId=folders" TargetMode="External"/><Relationship Id="rId237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358" Type="http://schemas.openxmlformats.org/officeDocument/2006/relationships/hyperlink" Target="https://acc.autodesk.com/build/files/projects/1e597176-a716-43f8-be36-fdbb47ecdee5?folderUrn=urn:adsk.wipprod:fs.folder:co.412vmwRUS5WvAkIPx4HNUw&amp;entityId=urn:adsk.wipprod:dm.lineage:-L851NZ7QQK1Len5enymtg&amp;viewModel=detail&amp;moduleId=folders" TargetMode="External"/><Relationship Id="rId115" Type="http://schemas.openxmlformats.org/officeDocument/2006/relationships/hyperlink" Target="https://acc.autodesk.com/build/files/projects/1e597176-a716-43f8-be36-fdbb47ecdee5?folderUrn=urn:adsk.wipprod:fs.folder:co.P6KU4gmUR526k4wTa-dzMQ" TargetMode="External"/><Relationship Id="rId236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tddyO0YVTje8U3ZF0yUdGw&amp;viewModel=detail&amp;moduleId=folders" TargetMode="External"/><Relationship Id="rId357" Type="http://schemas.openxmlformats.org/officeDocument/2006/relationships/hyperlink" Target="https://acc.autodesk.com/build/files/projects/1e597176-a716-43f8-be36-fdbb47ecdee5?folderUrn=urn:adsk.wipprod:fs.folder:co.412vmwRUS5WvAkIPx4HNUw" TargetMode="External"/><Relationship Id="rId119" Type="http://schemas.openxmlformats.org/officeDocument/2006/relationships/hyperlink" Target="https://acc.autodesk.com/build/files/projects/1e597176-a716-43f8-be36-fdbb47ecdee5?folderUrn=urn:adsk.wipprod:fs.folder:co.P6KU4gmUR526k4wTa-dzMQ" TargetMode="External"/><Relationship Id="rId110" Type="http://schemas.openxmlformats.org/officeDocument/2006/relationships/hyperlink" Target="https://acc.autodesk.com/build/files/projects/1e597176-a716-43f8-be36-fdbb47ecdee5?folderUrn=urn:adsk.wipprod:fs.folder:co.M8BwkpPFTwm0h2gRoHD-sQ&amp;entityId=urn:adsk.wipprod:dm.lineage:QxSznMmGRniPM-6boQRqag&amp;viewModel=detail&amp;moduleId=folders" TargetMode="External"/><Relationship Id="rId231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352" Type="http://schemas.openxmlformats.org/officeDocument/2006/relationships/hyperlink" Target="https://acc.autodesk.com/build/files/projects/1e597176-a716-43f8-be36-fdbb47ecdee5?folderUrn=urn:adsk.wipprod:fs.folder:co.bz21ao8BRRyrw6m_EIgMPw&amp;entityId=urn:adsk.wipprod:dm.lineage:yfuRfzH7RiGxq3dSiEvUpg&amp;viewModel=detail&amp;moduleId=folders" TargetMode="External"/><Relationship Id="rId230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hazvYksCRxSWQVAIwoMjyg&amp;viewModel=detail&amp;moduleId=folders" TargetMode="External"/><Relationship Id="rId351" Type="http://schemas.openxmlformats.org/officeDocument/2006/relationships/hyperlink" Target="https://acc.autodesk.com/build/files/projects/1e597176-a716-43f8-be36-fdbb47ecdee5?folderUrn=urn:adsk.wipprod:fs.folder:co.bz21ao8BRRyrw6m_EIgMPw" TargetMode="External"/><Relationship Id="rId350" Type="http://schemas.openxmlformats.org/officeDocument/2006/relationships/hyperlink" Target="https://acc.autodesk.com/build/files/projects/1e597176-a716-43f8-be36-fdbb47ecdee5?folderUrn=urn:adsk.wipprod:fs.folder:co.bz21ao8BRRyrw6m_EIgMPw&amp;entityId=urn:adsk.wipprod:dm.lineage:ji7u3d3BRja0VcrX_JeMqA&amp;viewModel=detail&amp;moduleId=folders" TargetMode="External"/><Relationship Id="rId114" Type="http://schemas.openxmlformats.org/officeDocument/2006/relationships/hyperlink" Target="https://acc.autodesk.com/build/files/projects/1e597176-a716-43f8-be36-fdbb47ecdee5?folderUrn=urn:adsk.wipprod:fs.folder:co.M8BwkpPFTwm0h2gRoHD-sQ&amp;entityId=urn:adsk.wipprod:dm.lineage:ahG9QMT7Ts-DHBHhfGX_hQ&amp;viewModel=detail&amp;moduleId=folders" TargetMode="External"/><Relationship Id="rId235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356" Type="http://schemas.openxmlformats.org/officeDocument/2006/relationships/hyperlink" Target="https://acc.autodesk.com/build/files/projects/1e597176-a716-43f8-be36-fdbb47ecdee5?folderUrn=urn:adsk.wipprod:fs.folder:co.bz21ao8BRRyrw6m_EIgMPw&amp;entityId=urn:adsk.wipprod:dm.lineage:dl0bSi3ORjK97yho4q0cvg&amp;viewModel=detail&amp;moduleId=folders" TargetMode="External"/><Relationship Id="rId113" Type="http://schemas.openxmlformats.org/officeDocument/2006/relationships/hyperlink" Target="https://acc.autodesk.com/build/files/projects/1e597176-a716-43f8-be36-fdbb47ecdee5?folderUrn=urn:adsk.wipprod:fs.folder:co.M8BwkpPFTwm0h2gRoHD-sQ" TargetMode="External"/><Relationship Id="rId234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oyzj_WN6QgC69Tpef8ZJ_g&amp;viewModel=detail&amp;moduleId=folders" TargetMode="External"/><Relationship Id="rId355" Type="http://schemas.openxmlformats.org/officeDocument/2006/relationships/hyperlink" Target="https://acc.autodesk.com/build/files/projects/1e597176-a716-43f8-be36-fdbb47ecdee5?folderUrn=urn:adsk.wipprod:fs.folder:co.bz21ao8BRRyrw6m_EIgMPw" TargetMode="External"/><Relationship Id="rId112" Type="http://schemas.openxmlformats.org/officeDocument/2006/relationships/hyperlink" Target="https://acc.autodesk.com/build/files/projects/1e597176-a716-43f8-be36-fdbb47ecdee5?folderUrn=urn:adsk.wipprod:fs.folder:co.M8BwkpPFTwm0h2gRoHD-sQ&amp;entityId=urn:adsk.wipprod:dm.lineage:amLhyfY0SjuQXlfOt_eryg&amp;viewModel=detail&amp;moduleId=folders" TargetMode="External"/><Relationship Id="rId233" Type="http://schemas.openxmlformats.org/officeDocument/2006/relationships/hyperlink" Target="https://acc.autodesk.com/build/files/projects/1e597176-a716-43f8-be36-fdbb47ecdee5?folderUrn=urn:adsk.wipprod:fs.folder:co.gneW-1t2SpuUo6Nf7Rj1vQ" TargetMode="External"/><Relationship Id="rId354" Type="http://schemas.openxmlformats.org/officeDocument/2006/relationships/hyperlink" Target="https://acc.autodesk.com/build/files/projects/1e597176-a716-43f8-be36-fdbb47ecdee5?folderUrn=urn:adsk.wipprod:fs.folder:co.bz21ao8BRRyrw6m_EIgMPw&amp;entityId=urn:adsk.wipprod:dm.lineage:yueTjGQnT9mrr5aW-8hwJA&amp;viewModel=detail&amp;moduleId=folders" TargetMode="External"/><Relationship Id="rId111" Type="http://schemas.openxmlformats.org/officeDocument/2006/relationships/hyperlink" Target="https://acc.autodesk.com/build/files/projects/1e597176-a716-43f8-be36-fdbb47ecdee5?folderUrn=urn:adsk.wipprod:fs.folder:co.M8BwkpPFTwm0h2gRoHD-sQ" TargetMode="External"/><Relationship Id="rId232" Type="http://schemas.openxmlformats.org/officeDocument/2006/relationships/hyperlink" Target="https://acc.autodesk.com/build/files/projects/1e597176-a716-43f8-be36-fdbb47ecdee5?folderUrn=urn:adsk.wipprod:fs.folder:co.gneW-1t2SpuUo6Nf7Rj1vQ&amp;entityId=urn:adsk.wipprod:dm.lineage:lFeq4-trQmuB5DP1GimbCQ&amp;viewModel=detail&amp;moduleId=folders" TargetMode="External"/><Relationship Id="rId353" Type="http://schemas.openxmlformats.org/officeDocument/2006/relationships/hyperlink" Target="https://acc.autodesk.com/build/files/projects/1e597176-a716-43f8-be36-fdbb47ecdee5?folderUrn=urn:adsk.wipprod:fs.folder:co.bz21ao8BRRyrw6m_EIgMPw" TargetMode="External"/><Relationship Id="rId305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426" Type="http://schemas.openxmlformats.org/officeDocument/2006/relationships/hyperlink" Target="https://acc.autodesk.com/build/files/projects/1e597176-a716-43f8-be36-fdbb47ecdee5?folderUrn=urn:adsk.wipprod:fs.folder:co.n7NyBqMQSDeL5nGLUmdk7A&amp;entityId=urn:adsk.wipprod:dm.lineage:62ES28VNRm2fBDVMyW7ztw&amp;viewModel=detail&amp;moduleId=folders" TargetMode="External"/><Relationship Id="rId304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jwjmY-i1RBCC5RiIJ1qNDA&amp;viewModel=detail&amp;moduleId=folders" TargetMode="External"/><Relationship Id="rId425" Type="http://schemas.openxmlformats.org/officeDocument/2006/relationships/hyperlink" Target="https://acc.autodesk.com/build/files/projects/1e597176-a716-43f8-be36-fdbb47ecdee5?folderUrn=urn:adsk.wipprod:fs.folder:co.n7NyBqMQSDeL5nGLUmdk7A" TargetMode="External"/><Relationship Id="rId303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424" Type="http://schemas.openxmlformats.org/officeDocument/2006/relationships/hyperlink" Target="https://acc.autodesk.com/build/files/projects/1e597176-a716-43f8-be36-fdbb47ecdee5?folderUrn=urn:adsk.wipprod:fs.folder:co.n7NyBqMQSDeL5nGLUmdk7A&amp;entityId=urn:adsk.wipprod:dm.lineage:y5N5UplJStCxdM4Nq7WLzg&amp;viewModel=detail&amp;moduleId=folders" TargetMode="External"/><Relationship Id="rId302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cR17Y7COT2GVseB1mFPvrw&amp;viewModel=detail&amp;moduleId=folders" TargetMode="External"/><Relationship Id="rId423" Type="http://schemas.openxmlformats.org/officeDocument/2006/relationships/hyperlink" Target="https://acc.autodesk.com/build/files/projects/1e597176-a716-43f8-be36-fdbb47ecdee5?folderUrn=urn:adsk.wipprod:fs.folder:co.n7NyBqMQSDeL5nGLUmdk7A" TargetMode="External"/><Relationship Id="rId309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308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EcLp_VKzQou1x97toKnLnw&amp;viewModel=detail&amp;moduleId=folders" TargetMode="External"/><Relationship Id="rId429" Type="http://schemas.openxmlformats.org/officeDocument/2006/relationships/hyperlink" Target="https://acc.autodesk.com/build/files/projects/1e597176-a716-43f8-be36-fdbb47ecdee5?folderUrn=urn:adsk.wipprod:fs.folder:co.n7NyBqMQSDeL5nGLUmdk7A" TargetMode="External"/><Relationship Id="rId307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428" Type="http://schemas.openxmlformats.org/officeDocument/2006/relationships/hyperlink" Target="https://acc.autodesk.com/build/files/projects/1e597176-a716-43f8-be36-fdbb47ecdee5?folderUrn=urn:adsk.wipprod:fs.folder:co.n7NyBqMQSDeL5nGLUmdk7A&amp;entityId=urn:adsk.wipprod:dm.lineage:JZsxrLdMQHq7fhaPEXTkuA&amp;viewModel=detail&amp;moduleId=folders" TargetMode="External"/><Relationship Id="rId306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R7AU8hcsSfKp1anG8lhHrg&amp;viewModel=detail&amp;moduleId=folders" TargetMode="External"/><Relationship Id="rId427" Type="http://schemas.openxmlformats.org/officeDocument/2006/relationships/hyperlink" Target="https://acc.autodesk.com/build/files/projects/1e597176-a716-43f8-be36-fdbb47ecdee5?folderUrn=urn:adsk.wipprod:fs.folder:co.n7NyBqMQSDeL5nGLUmdk7A" TargetMode="External"/><Relationship Id="rId301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422" Type="http://schemas.openxmlformats.org/officeDocument/2006/relationships/hyperlink" Target="https://acc.autodesk.com/build/files/projects/1e597176-a716-43f8-be36-fdbb47ecdee5?folderUrn=urn:adsk.wipprod:fs.folder:co.3hoTHM-8TmiCBb87zdnAhg&amp;entityId=urn:adsk.wipprod:dm.lineage:aEupkExLTim4BpeWtPmWYg&amp;viewModel=detail&amp;moduleId=folders" TargetMode="External"/><Relationship Id="rId300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qgcs4WYZRw6R2ha2YSOBWw&amp;viewModel=detail&amp;moduleId=folders" TargetMode="External"/><Relationship Id="rId421" Type="http://schemas.openxmlformats.org/officeDocument/2006/relationships/hyperlink" Target="https://acc.autodesk.com/build/files/projects/1e597176-a716-43f8-be36-fdbb47ecdee5?folderUrn=urn:adsk.wipprod:fs.folder:co.3hoTHM-8TmiCBb87zdnAhg" TargetMode="External"/><Relationship Id="rId420" Type="http://schemas.openxmlformats.org/officeDocument/2006/relationships/hyperlink" Target="https://acc.autodesk.com/build/files/projects/1e597176-a716-43f8-be36-fdbb47ecdee5?folderUrn=urn:adsk.wipprod:fs.folder:co.3hoTHM-8TmiCBb87zdnAhg&amp;entityId=urn:adsk.wipprod:dm.lineage:ZRWBwPZjR_WwUP8fZGOFbQ&amp;viewModel=detail&amp;moduleId=folders" TargetMode="External"/><Relationship Id="rId415" Type="http://schemas.openxmlformats.org/officeDocument/2006/relationships/hyperlink" Target="https://acc.autodesk.com/build/files/projects/1e597176-a716-43f8-be36-fdbb47ecdee5?folderUrn=urn:adsk.wipprod:fs.folder:co.3hoTHM-8TmiCBb87zdnAhg" TargetMode="External"/><Relationship Id="rId414" Type="http://schemas.openxmlformats.org/officeDocument/2006/relationships/hyperlink" Target="https://acc.autodesk.com/build/files/projects/1e597176-a716-43f8-be36-fdbb47ecdee5?folderUrn=urn:adsk.wipprod:fs.folder:co.3hoTHM-8TmiCBb87zdnAhg&amp;entityId=urn:adsk.wipprod:dm.lineage:dA4uOpxKRCKNIgyfYS2_lw&amp;viewModel=detail&amp;moduleId=folders" TargetMode="External"/><Relationship Id="rId413" Type="http://schemas.openxmlformats.org/officeDocument/2006/relationships/hyperlink" Target="https://acc.autodesk.com/build/files/projects/1e597176-a716-43f8-be36-fdbb47ecdee5?folderUrn=urn:adsk.wipprod:fs.folder:co.3hoTHM-8TmiCBb87zdnAhg" TargetMode="External"/><Relationship Id="rId412" Type="http://schemas.openxmlformats.org/officeDocument/2006/relationships/hyperlink" Target="https://acc.autodesk.com/build/files/projects/1e597176-a716-43f8-be36-fdbb47ecdee5?folderUrn=urn:adsk.wipprod:fs.folder:co.3hoTHM-8TmiCBb87zdnAhg&amp;entityId=urn:adsk.wipprod:dm.lineage:GfZb0xX4RleY8ZW-gekDwg&amp;viewModel=detail&amp;moduleId=folders" TargetMode="External"/><Relationship Id="rId419" Type="http://schemas.openxmlformats.org/officeDocument/2006/relationships/hyperlink" Target="https://acc.autodesk.com/build/files/projects/1e597176-a716-43f8-be36-fdbb47ecdee5?folderUrn=urn:adsk.wipprod:fs.folder:co.3hoTHM-8TmiCBb87zdnAhg" TargetMode="External"/><Relationship Id="rId418" Type="http://schemas.openxmlformats.org/officeDocument/2006/relationships/hyperlink" Target="https://acc.autodesk.com/build/files/projects/1e597176-a716-43f8-be36-fdbb47ecdee5?folderUrn=urn:adsk.wipprod:fs.folder:co.3hoTHM-8TmiCBb87zdnAhg&amp;entityId=urn:adsk.wipprod:dm.lineage:Byjj3RpeRuOdpGmTxIZ2yw&amp;viewModel=detail&amp;moduleId=folders" TargetMode="External"/><Relationship Id="rId417" Type="http://schemas.openxmlformats.org/officeDocument/2006/relationships/hyperlink" Target="https://acc.autodesk.com/build/files/projects/1e597176-a716-43f8-be36-fdbb47ecdee5?folderUrn=urn:adsk.wipprod:fs.folder:co.3hoTHM-8TmiCBb87zdnAhg" TargetMode="External"/><Relationship Id="rId416" Type="http://schemas.openxmlformats.org/officeDocument/2006/relationships/hyperlink" Target="https://acc.autodesk.com/build/files/projects/1e597176-a716-43f8-be36-fdbb47ecdee5?folderUrn=urn:adsk.wipprod:fs.folder:co.3hoTHM-8TmiCBb87zdnAhg&amp;entityId=urn:adsk.wipprod:dm.lineage:eiaoQCiKTBKHiqeb5QAUvA&amp;viewModel=detail&amp;moduleId=folders" TargetMode="External"/><Relationship Id="rId411" Type="http://schemas.openxmlformats.org/officeDocument/2006/relationships/hyperlink" Target="https://acc.autodesk.com/build/files/projects/1e597176-a716-43f8-be36-fdbb47ecdee5?folderUrn=urn:adsk.wipprod:fs.folder:co.3hoTHM-8TmiCBb87zdnAhg" TargetMode="External"/><Relationship Id="rId410" Type="http://schemas.openxmlformats.org/officeDocument/2006/relationships/hyperlink" Target="https://acc.autodesk.com/build/files/projects/1e597176-a716-43f8-be36-fdbb47ecdee5?folderUrn=urn:adsk.wipprod:fs.folder:co.3hoTHM-8TmiCBb87zdnAhg&amp;entityId=urn:adsk.wipprod:dm.lineage:ZyBaJ8tXQl-2rR-B30Qghw&amp;viewModel=detail&amp;moduleId=folders" TargetMode="External"/><Relationship Id="rId206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OZlzLFNOR6ye_3MjSGCOsg&amp;viewModel=detail&amp;moduleId=folders" TargetMode="External"/><Relationship Id="rId327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205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326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FtRmeWF7T_yjEuCmisFTSg&amp;viewModel=detail&amp;moduleId=folders" TargetMode="External"/><Relationship Id="rId447" Type="http://schemas.openxmlformats.org/officeDocument/2006/relationships/drawing" Target="../drawings/drawing4.xml"/><Relationship Id="rId204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Xe0ge1RZQvKnaT0990RiVQ&amp;viewModel=detail&amp;moduleId=folders" TargetMode="External"/><Relationship Id="rId325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446" Type="http://schemas.openxmlformats.org/officeDocument/2006/relationships/hyperlink" Target="https://acc.autodesk.com/build/files/projects/1e597176-a716-43f8-be36-fdbb47ecdee5?folderUrn=urn:adsk.wipprod:fs.folder:co._e4NGP3nTAqnnsE7qGOKUQ&amp;entityId=urn:adsk.wipprod:dm.lineage:PK0Ew6xdSkqHsSGyjHhM3w&amp;viewModel=detail&amp;moduleId=folders" TargetMode="External"/><Relationship Id="rId203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324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np-T00LySf6w0tL-QYGj6A&amp;viewModel=detail&amp;moduleId=folders" TargetMode="External"/><Relationship Id="rId445" Type="http://schemas.openxmlformats.org/officeDocument/2006/relationships/hyperlink" Target="https://acc.autodesk.com/build/files/projects/1e597176-a716-43f8-be36-fdbb47ecdee5?folderUrn=urn:adsk.wipprod:fs.folder:co._e4NGP3nTAqnnsE7qGOKUQ" TargetMode="External"/><Relationship Id="rId209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208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pnP-GTOnS0y6lIdr6Hm1ug&amp;viewModel=detail&amp;moduleId=folders" TargetMode="External"/><Relationship Id="rId329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207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328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LwzcFHQnSTWa4hLDItv9Lg&amp;viewModel=detail&amp;moduleId=folders" TargetMode="External"/><Relationship Id="rId440" Type="http://schemas.openxmlformats.org/officeDocument/2006/relationships/hyperlink" Target="https://acc.autodesk.com/build/files/projects/1e597176-a716-43f8-be36-fdbb47ecdee5?folderUrn=urn:adsk.wipprod:fs.folder:co._e4NGP3nTAqnnsE7qGOKUQ&amp;entityId=urn:adsk.wipprod:dm.lineage:vujasY1fQDyCtj9k5sTTXA&amp;viewModel=detail&amp;moduleId=folders" TargetMode="External"/><Relationship Id="rId202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a29XPfgtTUOc0-Ter74jZw&amp;viewModel=detail&amp;moduleId=folders" TargetMode="External"/><Relationship Id="rId323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444" Type="http://schemas.openxmlformats.org/officeDocument/2006/relationships/hyperlink" Target="https://acc.autodesk.com/build/files/projects/1e597176-a716-43f8-be36-fdbb47ecdee5?folderUrn=urn:adsk.wipprod:fs.folder:co._e4NGP3nTAqnnsE7qGOKUQ&amp;entityId=urn:adsk.wipprod:dm.lineage:cY4U20RdTUySvbg2DO46Sg&amp;viewModel=detail&amp;moduleId=folders" TargetMode="External"/><Relationship Id="rId201" Type="http://schemas.openxmlformats.org/officeDocument/2006/relationships/hyperlink" Target="https://acc.autodesk.com/build/files/projects/1e597176-a716-43f8-be36-fdbb47ecdee5?folderUrn=urn:adsk.wipprod:fs.folder:co.BtADxt2wTy-hdvOnJPUroQ" TargetMode="External"/><Relationship Id="rId322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ozVaFPd6R3a_eO3u_1_5kw&amp;viewModel=detail&amp;moduleId=folders" TargetMode="External"/><Relationship Id="rId443" Type="http://schemas.openxmlformats.org/officeDocument/2006/relationships/hyperlink" Target="https://acc.autodesk.com/build/files/projects/1e597176-a716-43f8-be36-fdbb47ecdee5?folderUrn=urn:adsk.wipprod:fs.folder:co._e4NGP3nTAqnnsE7qGOKUQ" TargetMode="External"/><Relationship Id="rId200" Type="http://schemas.openxmlformats.org/officeDocument/2006/relationships/hyperlink" Target="https://acc.autodesk.com/build/files/projects/1e597176-a716-43f8-be36-fdbb47ecdee5?folderUrn=urn:adsk.wipprod:fs.folder:co.BtADxt2wTy-hdvOnJPUroQ&amp;entityId=urn:adsk.wipprod:dm.lineage:-bWe5omaTsGBXy0h2a2LlA&amp;viewModel=detail&amp;moduleId=folders" TargetMode="External"/><Relationship Id="rId321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442" Type="http://schemas.openxmlformats.org/officeDocument/2006/relationships/hyperlink" Target="https://acc.autodesk.com/build/files/projects/1e597176-a716-43f8-be36-fdbb47ecdee5?folderUrn=urn:adsk.wipprod:fs.folder:co._e4NGP3nTAqnnsE7qGOKUQ&amp;entityId=urn:adsk.wipprod:dm.lineage:vnUbmdpUQHKHrgaqHqwUxA&amp;viewModel=detail&amp;moduleId=folders" TargetMode="External"/><Relationship Id="rId320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MV5cfC1rS4ilX1d7M4cB0w&amp;viewModel=detail&amp;moduleId=folders" TargetMode="External"/><Relationship Id="rId441" Type="http://schemas.openxmlformats.org/officeDocument/2006/relationships/hyperlink" Target="https://acc.autodesk.com/build/files/projects/1e597176-a716-43f8-be36-fdbb47ecdee5?folderUrn=urn:adsk.wipprod:fs.folder:co._e4NGP3nTAqnnsE7qGOKUQ" TargetMode="External"/><Relationship Id="rId316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egSR_lstROWZ-Z0iWMO0_g&amp;viewModel=detail&amp;moduleId=folders" TargetMode="External"/><Relationship Id="rId437" Type="http://schemas.openxmlformats.org/officeDocument/2006/relationships/hyperlink" Target="https://acc.autodesk.com/build/files/projects/1e597176-a716-43f8-be36-fdbb47ecdee5?folderUrn=urn:adsk.wipprod:fs.folder:co._e4NGP3nTAqnnsE7qGOKUQ" TargetMode="External"/><Relationship Id="rId315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436" Type="http://schemas.openxmlformats.org/officeDocument/2006/relationships/hyperlink" Target="https://acc.autodesk.com/build/files/projects/1e597176-a716-43f8-be36-fdbb47ecdee5?folderUrn=urn:adsk.wipprod:fs.folder:co._e4NGP3nTAqnnsE7qGOKUQ&amp;entityId=urn:adsk.wipprod:dm.lineage:yyZaUWS3Q6CyMNjaaulFKQ&amp;viewModel=detail&amp;moduleId=folders" TargetMode="External"/><Relationship Id="rId314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ZTKgopOmTFOEjJoU_rfoiw&amp;viewModel=detail&amp;moduleId=folders" TargetMode="External"/><Relationship Id="rId435" Type="http://schemas.openxmlformats.org/officeDocument/2006/relationships/hyperlink" Target="https://acc.autodesk.com/build/files/projects/1e597176-a716-43f8-be36-fdbb47ecdee5?folderUrn=urn:adsk.wipprod:fs.folder:co._e4NGP3nTAqnnsE7qGOKUQ" TargetMode="External"/><Relationship Id="rId313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434" Type="http://schemas.openxmlformats.org/officeDocument/2006/relationships/hyperlink" Target="https://acc.autodesk.com/build/files/projects/1e597176-a716-43f8-be36-fdbb47ecdee5?folderUrn=urn:adsk.wipprod:fs.folder:co.n7NyBqMQSDeL5nGLUmdk7A&amp;entityId=urn:adsk.wipprod:dm.lineage:T95pgcedT7-lNBmv6h7ZDw&amp;viewModel=detail&amp;moduleId=folders" TargetMode="External"/><Relationship Id="rId319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318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ZOAjE6gLRJmbUfw6WhzXTw&amp;viewModel=detail&amp;moduleId=folders" TargetMode="External"/><Relationship Id="rId439" Type="http://schemas.openxmlformats.org/officeDocument/2006/relationships/hyperlink" Target="https://acc.autodesk.com/build/files/projects/1e597176-a716-43f8-be36-fdbb47ecdee5?folderUrn=urn:adsk.wipprod:fs.folder:co._e4NGP3nTAqnnsE7qGOKUQ" TargetMode="External"/><Relationship Id="rId317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438" Type="http://schemas.openxmlformats.org/officeDocument/2006/relationships/hyperlink" Target="https://acc.autodesk.com/build/files/projects/1e597176-a716-43f8-be36-fdbb47ecdee5?folderUrn=urn:adsk.wipprod:fs.folder:co._e4NGP3nTAqnnsE7qGOKUQ&amp;entityId=urn:adsk.wipprod:dm.lineage:lAPKa1pDQaaiT1WLLQjp6A&amp;viewModel=detail&amp;moduleId=folders" TargetMode="External"/><Relationship Id="rId312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4l9t_DQQRZ6z6hxYsg0IGg&amp;viewModel=detail&amp;moduleId=folders" TargetMode="External"/><Relationship Id="rId433" Type="http://schemas.openxmlformats.org/officeDocument/2006/relationships/hyperlink" Target="https://acc.autodesk.com/build/files/projects/1e597176-a716-43f8-be36-fdbb47ecdee5?folderUrn=urn:adsk.wipprod:fs.folder:co.n7NyBqMQSDeL5nGLUmdk7A" TargetMode="External"/><Relationship Id="rId311" Type="http://schemas.openxmlformats.org/officeDocument/2006/relationships/hyperlink" Target="https://acc.autodesk.com/build/files/projects/1e597176-a716-43f8-be36-fdbb47ecdee5?folderUrn=urn:adsk.wipprod:fs.folder:co.FxNM7TmRQoCV0Idg7eQ7qQ" TargetMode="External"/><Relationship Id="rId432" Type="http://schemas.openxmlformats.org/officeDocument/2006/relationships/hyperlink" Target="https://acc.autodesk.com/build/files/projects/1e597176-a716-43f8-be36-fdbb47ecdee5?folderUrn=urn:adsk.wipprod:fs.folder:co.n7NyBqMQSDeL5nGLUmdk7A&amp;entityId=urn:adsk.wipprod:dm.lineage:Mq4gZGxBQrqABpmz9PLyig&amp;viewModel=detail&amp;moduleId=folders" TargetMode="External"/><Relationship Id="rId310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T5pYvFjGRaedXb1Vw6JoTg&amp;viewModel=detail&amp;moduleId=folders" TargetMode="External"/><Relationship Id="rId431" Type="http://schemas.openxmlformats.org/officeDocument/2006/relationships/hyperlink" Target="https://acc.autodesk.com/build/files/projects/1e597176-a716-43f8-be36-fdbb47ecdee5?folderUrn=urn:adsk.wipprod:fs.folder:co.n7NyBqMQSDeL5nGLUmdk7A" TargetMode="External"/><Relationship Id="rId430" Type="http://schemas.openxmlformats.org/officeDocument/2006/relationships/hyperlink" Target="https://acc.autodesk.com/build/files/projects/1e597176-a716-43f8-be36-fdbb47ecdee5?folderUrn=urn:adsk.wipprod:fs.folder:co.n7NyBqMQSDeL5nGLUmdk7A&amp;entityId=urn:adsk.wipprod:dm.lineage:66E-mhkFR4av2u8SnsJCZg&amp;viewModel=detail&amp;moduleId=fold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hidden="1" min="1" max="1" width="10.38"/>
    <col customWidth="1" min="2" max="2" width="25.88"/>
    <col customWidth="1" hidden="1" min="3" max="3" width="21.38"/>
    <col customWidth="1" min="4" max="4" width="18.38"/>
    <col customWidth="1" hidden="1" min="5" max="5" width="21.38"/>
    <col customWidth="1" min="6" max="8" width="18.38"/>
    <col customWidth="1" min="9" max="10" width="17.88"/>
    <col customWidth="1" min="11" max="11" width="11.0"/>
    <col customWidth="1" hidden="1" min="12" max="12" width="31.25"/>
    <col customWidth="1" hidden="1" min="13" max="13" width="36.38"/>
    <col customWidth="1" min="14" max="14" width="36.38"/>
    <col customWidth="1" min="15" max="16" width="18.25"/>
    <col customWidth="1" min="17" max="18" width="27.63"/>
    <col customWidth="1" min="19" max="19" width="19.5"/>
    <col customWidth="1" min="20" max="20" width="20.13"/>
    <col customWidth="1" min="21" max="21" width="16.13"/>
    <col customWidth="1" min="22" max="22" width="15.88"/>
    <col customWidth="1" min="23" max="23" width="15.63"/>
    <col customWidth="1" min="24" max="41" width="15.75"/>
    <col customWidth="1" min="42" max="66" width="20.88"/>
    <col customWidth="1" min="67" max="67" width="29.0"/>
    <col customWidth="1" min="68" max="68" width="15.75"/>
  </cols>
  <sheetData>
    <row r="1" ht="6.0" customHeight="1">
      <c r="A1" s="1"/>
      <c r="B1" s="2"/>
      <c r="C1" s="3"/>
      <c r="D1" s="3"/>
      <c r="E1" s="3"/>
      <c r="F1" s="4"/>
      <c r="G1" s="4"/>
      <c r="H1" s="4"/>
      <c r="I1" s="5"/>
      <c r="J1" s="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7"/>
      <c r="BP1" s="8"/>
    </row>
    <row r="2" ht="67.5" customHeight="1">
      <c r="A2" s="1"/>
      <c r="B2" s="9"/>
      <c r="C2" s="10"/>
      <c r="D2" s="11" t="s">
        <v>0</v>
      </c>
      <c r="BP2" s="12"/>
    </row>
    <row r="3" ht="5.25" customHeight="1">
      <c r="A3" s="1"/>
      <c r="B3" s="13"/>
      <c r="C3" s="14"/>
      <c r="D3" s="14"/>
      <c r="E3" s="14"/>
      <c r="F3" s="14"/>
      <c r="G3" s="14"/>
      <c r="H3" s="14"/>
      <c r="I3" s="14"/>
      <c r="J3" s="14"/>
      <c r="K3" s="14"/>
      <c r="M3" s="15"/>
      <c r="N3" s="14"/>
      <c r="O3" s="14"/>
      <c r="P3" s="14"/>
      <c r="Q3" s="14"/>
      <c r="R3" s="14"/>
      <c r="S3" s="16"/>
      <c r="T3" s="16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7"/>
      <c r="BP3" s="18"/>
    </row>
    <row r="4">
      <c r="A4" s="19" t="s">
        <v>1</v>
      </c>
      <c r="B4" s="20" t="s">
        <v>2</v>
      </c>
      <c r="C4" s="21" t="s">
        <v>3</v>
      </c>
      <c r="D4" s="22" t="s">
        <v>4</v>
      </c>
      <c r="E4" s="21" t="s">
        <v>5</v>
      </c>
      <c r="F4" s="23" t="s">
        <v>6</v>
      </c>
      <c r="G4" s="23" t="s">
        <v>7</v>
      </c>
      <c r="H4" s="22" t="s">
        <v>8</v>
      </c>
      <c r="I4" s="22" t="s">
        <v>9</v>
      </c>
      <c r="J4" s="22" t="s">
        <v>10</v>
      </c>
      <c r="K4" s="22" t="s">
        <v>11</v>
      </c>
      <c r="L4" s="21" t="s">
        <v>12</v>
      </c>
      <c r="M4" s="23" t="s">
        <v>13</v>
      </c>
      <c r="N4" s="22" t="s">
        <v>14</v>
      </c>
      <c r="O4" s="21" t="s">
        <v>15</v>
      </c>
      <c r="P4" s="21" t="s">
        <v>16</v>
      </c>
      <c r="Q4" s="21" t="s">
        <v>17</v>
      </c>
      <c r="R4" s="21" t="s">
        <v>18</v>
      </c>
      <c r="S4" s="24" t="s">
        <v>19</v>
      </c>
      <c r="T4" s="24" t="s">
        <v>20</v>
      </c>
      <c r="U4" s="21" t="s">
        <v>21</v>
      </c>
      <c r="V4" s="21" t="s">
        <v>22</v>
      </c>
      <c r="W4" s="21" t="s">
        <v>23</v>
      </c>
      <c r="X4" s="22" t="s">
        <v>24</v>
      </c>
      <c r="Y4" s="22" t="s">
        <v>25</v>
      </c>
      <c r="Z4" s="22" t="s">
        <v>26</v>
      </c>
      <c r="AA4" s="22" t="s">
        <v>27</v>
      </c>
      <c r="AB4" s="22" t="s">
        <v>28</v>
      </c>
      <c r="AC4" s="22" t="s">
        <v>29</v>
      </c>
      <c r="AD4" s="22" t="s">
        <v>30</v>
      </c>
      <c r="AE4" s="22" t="s">
        <v>31</v>
      </c>
      <c r="AF4" s="22" t="s">
        <v>32</v>
      </c>
      <c r="AG4" s="22" t="s">
        <v>33</v>
      </c>
      <c r="AH4" s="22" t="s">
        <v>34</v>
      </c>
      <c r="AI4" s="22" t="s">
        <v>35</v>
      </c>
      <c r="AJ4" s="22" t="s">
        <v>36</v>
      </c>
      <c r="AK4" s="22" t="s">
        <v>37</v>
      </c>
      <c r="AL4" s="22" t="s">
        <v>38</v>
      </c>
      <c r="AM4" s="22" t="s">
        <v>39</v>
      </c>
      <c r="AN4" s="22" t="s">
        <v>40</v>
      </c>
      <c r="AO4" s="22" t="s">
        <v>41</v>
      </c>
      <c r="AP4" s="22" t="s">
        <v>42</v>
      </c>
      <c r="AQ4" s="22" t="s">
        <v>43</v>
      </c>
      <c r="AR4" s="22" t="s">
        <v>44</v>
      </c>
      <c r="AS4" s="22" t="s">
        <v>45</v>
      </c>
      <c r="AT4" s="22" t="s">
        <v>46</v>
      </c>
      <c r="AU4" s="22" t="s">
        <v>47</v>
      </c>
      <c r="AV4" s="22" t="s">
        <v>48</v>
      </c>
      <c r="AW4" s="22" t="s">
        <v>49</v>
      </c>
      <c r="AX4" s="22" t="s">
        <v>50</v>
      </c>
      <c r="AY4" s="22" t="s">
        <v>51</v>
      </c>
      <c r="AZ4" s="22" t="s">
        <v>52</v>
      </c>
      <c r="BA4" s="22" t="s">
        <v>53</v>
      </c>
      <c r="BB4" s="22" t="s">
        <v>54</v>
      </c>
      <c r="BC4" s="22" t="s">
        <v>55</v>
      </c>
      <c r="BD4" s="22" t="s">
        <v>56</v>
      </c>
      <c r="BE4" s="22" t="s">
        <v>57</v>
      </c>
      <c r="BF4" s="22" t="s">
        <v>58</v>
      </c>
      <c r="BG4" s="22" t="s">
        <v>59</v>
      </c>
      <c r="BH4" s="22" t="s">
        <v>60</v>
      </c>
      <c r="BI4" s="22" t="s">
        <v>61</v>
      </c>
      <c r="BJ4" s="22" t="s">
        <v>62</v>
      </c>
      <c r="BK4" s="22" t="s">
        <v>63</v>
      </c>
      <c r="BL4" s="22" t="s">
        <v>64</v>
      </c>
      <c r="BM4" s="22" t="s">
        <v>65</v>
      </c>
      <c r="BN4" s="22" t="s">
        <v>66</v>
      </c>
      <c r="BO4" s="25" t="s">
        <v>67</v>
      </c>
      <c r="BP4" s="26" t="s">
        <v>68</v>
      </c>
    </row>
    <row r="5">
      <c r="A5" s="27">
        <v>28.0</v>
      </c>
      <c r="B5" s="28" t="s">
        <v>69</v>
      </c>
      <c r="C5" s="28">
        <v>1112.0</v>
      </c>
      <c r="D5" s="28" t="s">
        <v>69</v>
      </c>
      <c r="E5" s="28">
        <v>1112.0</v>
      </c>
      <c r="F5" s="29" t="str">
        <f>IFERROR(VLOOKUP(M5:M78,'R22 RELATÓRIO ACC'!B:F,5,FALSE),"NOT PUBLISHED")</f>
        <v>V17</v>
      </c>
      <c r="G5" s="29" t="str">
        <f>IFERROR(VLOOKUP(M5:M76,'R22 RELATÓRIO ACC'!B:P,15,FALSE),"NOT PUBLISHED")</f>
        <v>14/05/2026</v>
      </c>
      <c r="H5" s="29" t="str">
        <f>IFERROR(VLOOKUP(N5:N78,'RELATÓRIO ACC'!B:F,5,FALSE),"NOT PUBLISHED")</f>
        <v>V4</v>
      </c>
      <c r="I5" s="29" t="str">
        <f>IFERROR(VLOOKUP(N5:N76,'RELATÓRIO ACC'!B:P,15,FALSE),"NOT PUBLISHED")</f>
        <v>25/06/2026</v>
      </c>
      <c r="J5" s="29" t="s">
        <v>70</v>
      </c>
      <c r="K5" s="29" t="s">
        <v>71</v>
      </c>
      <c r="L5" s="30" t="s">
        <v>72</v>
      </c>
      <c r="M5" s="31" t="s">
        <v>73</v>
      </c>
      <c r="N5" s="31" t="s">
        <v>74</v>
      </c>
      <c r="O5" s="30" t="s">
        <v>75</v>
      </c>
      <c r="P5" s="30" t="b">
        <v>0</v>
      </c>
      <c r="Q5" s="30" t="s">
        <v>76</v>
      </c>
      <c r="R5" s="30" t="s">
        <v>77</v>
      </c>
      <c r="S5" s="30"/>
      <c r="T5" s="30"/>
      <c r="U5" s="30"/>
      <c r="V5" s="29"/>
      <c r="W5" s="29">
        <v>45876.0</v>
      </c>
      <c r="X5" s="30" t="s">
        <v>78</v>
      </c>
      <c r="Y5" s="30" t="s">
        <v>78</v>
      </c>
      <c r="Z5" s="32">
        <v>0.69</v>
      </c>
      <c r="AA5" s="33" t="s">
        <v>79</v>
      </c>
      <c r="AB5" s="33" t="s">
        <v>79</v>
      </c>
      <c r="AC5" s="32">
        <v>0.59</v>
      </c>
      <c r="AD5" s="32">
        <v>0.76</v>
      </c>
      <c r="AE5" s="33" t="s">
        <v>79</v>
      </c>
      <c r="AF5" s="33" t="s">
        <v>79</v>
      </c>
      <c r="AG5" s="33" t="s">
        <v>79</v>
      </c>
      <c r="AH5" s="33" t="s">
        <v>79</v>
      </c>
      <c r="AI5" s="33" t="s">
        <v>79</v>
      </c>
      <c r="AJ5" s="34" t="s">
        <v>79</v>
      </c>
      <c r="AK5" s="34" t="s">
        <v>79</v>
      </c>
      <c r="AL5" s="32">
        <v>0.82</v>
      </c>
      <c r="AM5" s="34" t="s">
        <v>79</v>
      </c>
      <c r="AN5" s="35">
        <v>0.88</v>
      </c>
      <c r="AO5" s="35">
        <v>0.88</v>
      </c>
      <c r="AP5" s="34" t="s">
        <v>79</v>
      </c>
      <c r="AQ5" s="34" t="s">
        <v>79</v>
      </c>
      <c r="AR5" s="34" t="s">
        <v>79</v>
      </c>
      <c r="AS5" s="35">
        <v>0.88</v>
      </c>
      <c r="AT5" s="34" t="s">
        <v>79</v>
      </c>
      <c r="AU5" s="35">
        <v>0.88</v>
      </c>
      <c r="AV5" s="34" t="s">
        <v>79</v>
      </c>
      <c r="AW5" s="34" t="s">
        <v>79</v>
      </c>
      <c r="AX5" s="34" t="s">
        <v>80</v>
      </c>
      <c r="AY5" s="35">
        <v>0.82</v>
      </c>
      <c r="AZ5" s="34" t="s">
        <v>79</v>
      </c>
      <c r="BA5" s="34" t="s">
        <v>80</v>
      </c>
      <c r="BB5" s="35">
        <v>0.94</v>
      </c>
      <c r="BC5" s="34" t="s">
        <v>80</v>
      </c>
      <c r="BD5" s="35">
        <v>0.94</v>
      </c>
      <c r="BE5" s="34" t="s">
        <v>79</v>
      </c>
      <c r="BF5" s="34" t="s">
        <v>80</v>
      </c>
      <c r="BG5" s="34" t="s">
        <v>81</v>
      </c>
      <c r="BH5" s="34" t="s">
        <v>79</v>
      </c>
      <c r="BI5" s="35">
        <v>0.82</v>
      </c>
      <c r="BJ5" s="34" t="s">
        <v>80</v>
      </c>
      <c r="BK5" s="35">
        <v>0.94</v>
      </c>
      <c r="BL5" s="34" t="s">
        <v>79</v>
      </c>
      <c r="BM5" s="34" t="s">
        <v>79</v>
      </c>
      <c r="BN5" s="30" t="s">
        <v>82</v>
      </c>
      <c r="BO5" s="34" t="s">
        <v>79</v>
      </c>
      <c r="BP5" s="35">
        <f>IFERROR(__xludf.DUMMYFUNCTION("IFERROR(
  INDEX(
    FILTER(X5:BM5, ISNUMBER(X5:BM5)),
    COUNTA(FILTER(X5:BM5, ISNUMBER(X5:BM5)))
  ),
  BM5
)"),0.94)</f>
        <v>0.94</v>
      </c>
    </row>
    <row r="6">
      <c r="A6" s="27">
        <v>68.0</v>
      </c>
      <c r="B6" s="36" t="s">
        <v>83</v>
      </c>
      <c r="C6" s="36" t="s">
        <v>83</v>
      </c>
      <c r="D6" s="36" t="s">
        <v>84</v>
      </c>
      <c r="E6" s="37"/>
      <c r="F6" s="29" t="str">
        <f>IFERROR(VLOOKUP(M6:M79,'R22 RELATÓRIO ACC'!B:F,5,FALSE),"NOT PUBLISHED")</f>
        <v>V4</v>
      </c>
      <c r="G6" s="29" t="str">
        <f>IFERROR(VLOOKUP(M6:M77,'R22 RELATÓRIO ACC'!B:P,15,FALSE),"NOT PUBLISHED")</f>
        <v>29/04/2026</v>
      </c>
      <c r="H6" s="29" t="str">
        <f>IFERROR(VLOOKUP(N6:N79,'RELATÓRIO ACC'!B:F,5,FALSE),"NOT PUBLISHED")</f>
        <v>V1</v>
      </c>
      <c r="I6" s="29" t="str">
        <f>IFERROR(VLOOKUP(N6:N77,'RELATÓRIO ACC'!B:P,15,FALSE),"NOT PUBLISHED")</f>
        <v>04/06/2026</v>
      </c>
      <c r="J6" s="29" t="s">
        <v>85</v>
      </c>
      <c r="K6" s="29" t="s">
        <v>86</v>
      </c>
      <c r="L6" s="30"/>
      <c r="M6" s="31" t="s">
        <v>87</v>
      </c>
      <c r="N6" s="31" t="s">
        <v>88</v>
      </c>
      <c r="O6" s="30" t="s">
        <v>89</v>
      </c>
      <c r="P6" s="30" t="b">
        <v>0</v>
      </c>
      <c r="Q6" s="30"/>
      <c r="R6" s="30"/>
      <c r="S6" s="30"/>
      <c r="T6" s="30"/>
      <c r="U6" s="30"/>
      <c r="V6" s="29"/>
      <c r="W6" s="29"/>
      <c r="X6" s="30" t="s">
        <v>78</v>
      </c>
      <c r="Y6" s="30" t="s">
        <v>78</v>
      </c>
      <c r="Z6" s="30" t="s">
        <v>78</v>
      </c>
      <c r="AA6" s="30" t="s">
        <v>78</v>
      </c>
      <c r="AB6" s="30" t="s">
        <v>78</v>
      </c>
      <c r="AC6" s="30" t="s">
        <v>78</v>
      </c>
      <c r="AD6" s="30" t="s">
        <v>78</v>
      </c>
      <c r="AE6" s="30" t="s">
        <v>78</v>
      </c>
      <c r="AF6" s="30" t="s">
        <v>78</v>
      </c>
      <c r="AG6" s="30" t="s">
        <v>78</v>
      </c>
      <c r="AH6" s="30" t="s">
        <v>78</v>
      </c>
      <c r="AI6" s="30" t="s">
        <v>78</v>
      </c>
      <c r="AJ6" s="30" t="s">
        <v>78</v>
      </c>
      <c r="AK6" s="30" t="s">
        <v>78</v>
      </c>
      <c r="AL6" s="32">
        <v>0.76</v>
      </c>
      <c r="AM6" s="34" t="s">
        <v>79</v>
      </c>
      <c r="AN6" s="34" t="s">
        <v>79</v>
      </c>
      <c r="AO6" s="34" t="s">
        <v>79</v>
      </c>
      <c r="AP6" s="34" t="s">
        <v>79</v>
      </c>
      <c r="AQ6" s="34" t="s">
        <v>79</v>
      </c>
      <c r="AR6" s="34" t="s">
        <v>79</v>
      </c>
      <c r="AS6" s="34" t="s">
        <v>79</v>
      </c>
      <c r="AT6" s="32">
        <v>0.76</v>
      </c>
      <c r="AU6" s="34" t="s">
        <v>79</v>
      </c>
      <c r="AV6" s="34" t="s">
        <v>79</v>
      </c>
      <c r="AW6" s="34" t="s">
        <v>79</v>
      </c>
      <c r="AX6" s="34" t="s">
        <v>80</v>
      </c>
      <c r="AY6" s="34" t="s">
        <v>81</v>
      </c>
      <c r="AZ6" s="34" t="s">
        <v>79</v>
      </c>
      <c r="BA6" s="34" t="s">
        <v>79</v>
      </c>
      <c r="BB6" s="34" t="s">
        <v>79</v>
      </c>
      <c r="BC6" s="34" t="s">
        <v>81</v>
      </c>
      <c r="BD6" s="34" t="s">
        <v>79</v>
      </c>
      <c r="BE6" s="34" t="s">
        <v>79</v>
      </c>
      <c r="BF6" s="34" t="s">
        <v>79</v>
      </c>
      <c r="BG6" s="34" t="s">
        <v>79</v>
      </c>
      <c r="BH6" s="34" t="s">
        <v>81</v>
      </c>
      <c r="BI6" s="34" t="s">
        <v>79</v>
      </c>
      <c r="BJ6" s="34" t="s">
        <v>79</v>
      </c>
      <c r="BK6" s="34" t="s">
        <v>79</v>
      </c>
      <c r="BL6" s="34" t="s">
        <v>79</v>
      </c>
      <c r="BM6" s="34" t="s">
        <v>79</v>
      </c>
      <c r="BN6" s="30" t="s">
        <v>82</v>
      </c>
      <c r="BO6" s="34" t="s">
        <v>79</v>
      </c>
      <c r="BP6" s="35">
        <f>IFERROR(__xludf.DUMMYFUNCTION("IFERROR(
  INDEX(
    FILTER(X6:BM6, ISNUMBER(X6:BM6)),
    COUNTA(FILTER(X6:BM6, ISNUMBER(X6:BM6)))
  ),
  BM6
)"),0.76)</f>
        <v>0.76</v>
      </c>
    </row>
    <row r="7">
      <c r="A7" s="27">
        <v>69.0</v>
      </c>
      <c r="B7" s="36" t="s">
        <v>83</v>
      </c>
      <c r="C7" s="36" t="s">
        <v>83</v>
      </c>
      <c r="D7" s="36" t="s">
        <v>84</v>
      </c>
      <c r="E7" s="37"/>
      <c r="F7" s="29" t="str">
        <f>IFERROR(VLOOKUP(M7:M80,'R22 RELATÓRIO ACC'!B:F,5,FALSE),"NOT PUBLISHED")</f>
        <v>V2</v>
      </c>
      <c r="G7" s="29" t="str">
        <f>IFERROR(VLOOKUP(M7:M78,'R22 RELATÓRIO ACC'!B:P,15,FALSE),"NOT PUBLISHED")</f>
        <v>29/04/2026</v>
      </c>
      <c r="H7" s="29" t="str">
        <f>IFERROR(VLOOKUP(N7:N80,'RELATÓRIO ACC'!B:F,5,FALSE),"NOT PUBLISHED")</f>
        <v>V1</v>
      </c>
      <c r="I7" s="29" t="str">
        <f>IFERROR(VLOOKUP(N7:N78,'RELATÓRIO ACC'!B:P,15,FALSE),"NOT PUBLISHED")</f>
        <v>12/06/2026</v>
      </c>
      <c r="J7" s="29">
        <v>46185.0</v>
      </c>
      <c r="K7" s="30" t="s">
        <v>86</v>
      </c>
      <c r="L7" s="30"/>
      <c r="M7" s="31" t="s">
        <v>90</v>
      </c>
      <c r="N7" s="31" t="s">
        <v>91</v>
      </c>
      <c r="O7" s="30" t="s">
        <v>92</v>
      </c>
      <c r="P7" s="30" t="b">
        <v>0</v>
      </c>
      <c r="Q7" s="30"/>
      <c r="R7" s="30"/>
      <c r="S7" s="30"/>
      <c r="T7" s="30"/>
      <c r="U7" s="30"/>
      <c r="V7" s="29"/>
      <c r="W7" s="29"/>
      <c r="X7" s="30" t="s">
        <v>78</v>
      </c>
      <c r="Y7" s="30" t="s">
        <v>78</v>
      </c>
      <c r="Z7" s="30" t="s">
        <v>78</v>
      </c>
      <c r="AA7" s="30" t="s">
        <v>78</v>
      </c>
      <c r="AB7" s="30" t="s">
        <v>78</v>
      </c>
      <c r="AC7" s="30" t="s">
        <v>78</v>
      </c>
      <c r="AD7" s="30" t="s">
        <v>78</v>
      </c>
      <c r="AE7" s="30" t="s">
        <v>78</v>
      </c>
      <c r="AF7" s="30" t="s">
        <v>78</v>
      </c>
      <c r="AG7" s="30" t="s">
        <v>78</v>
      </c>
      <c r="AH7" s="30" t="s">
        <v>78</v>
      </c>
      <c r="AI7" s="30" t="s">
        <v>78</v>
      </c>
      <c r="AJ7" s="30" t="s">
        <v>78</v>
      </c>
      <c r="AK7" s="30" t="s">
        <v>78</v>
      </c>
      <c r="AL7" s="32">
        <v>0.76</v>
      </c>
      <c r="AM7" s="34" t="s">
        <v>79</v>
      </c>
      <c r="AN7" s="34" t="s">
        <v>79</v>
      </c>
      <c r="AO7" s="34" t="s">
        <v>79</v>
      </c>
      <c r="AP7" s="34" t="s">
        <v>79</v>
      </c>
      <c r="AQ7" s="34" t="s">
        <v>79</v>
      </c>
      <c r="AR7" s="34" t="s">
        <v>79</v>
      </c>
      <c r="AS7" s="34" t="s">
        <v>79</v>
      </c>
      <c r="AT7" s="34" t="s">
        <v>79</v>
      </c>
      <c r="AU7" s="34" t="s">
        <v>79</v>
      </c>
      <c r="AV7" s="34" t="s">
        <v>79</v>
      </c>
      <c r="AW7" s="34" t="s">
        <v>79</v>
      </c>
      <c r="AX7" s="34" t="s">
        <v>79</v>
      </c>
      <c r="AY7" s="34" t="s">
        <v>79</v>
      </c>
      <c r="AZ7" s="34" t="s">
        <v>79</v>
      </c>
      <c r="BA7" s="34" t="s">
        <v>79</v>
      </c>
      <c r="BB7" s="34" t="s">
        <v>79</v>
      </c>
      <c r="BC7" s="34" t="s">
        <v>81</v>
      </c>
      <c r="BD7" s="34" t="s">
        <v>79</v>
      </c>
      <c r="BE7" s="34" t="s">
        <v>79</v>
      </c>
      <c r="BF7" s="34" t="s">
        <v>79</v>
      </c>
      <c r="BG7" s="34" t="s">
        <v>79</v>
      </c>
      <c r="BH7" s="34" t="s">
        <v>81</v>
      </c>
      <c r="BI7" s="34" t="s">
        <v>79</v>
      </c>
      <c r="BJ7" s="34" t="s">
        <v>79</v>
      </c>
      <c r="BK7" s="34" t="s">
        <v>79</v>
      </c>
      <c r="BL7" s="34" t="s">
        <v>79</v>
      </c>
      <c r="BM7" s="34" t="s">
        <v>79</v>
      </c>
      <c r="BN7" s="30" t="s">
        <v>82</v>
      </c>
      <c r="BO7" s="34" t="s">
        <v>79</v>
      </c>
      <c r="BP7" s="35">
        <f>IFERROR(__xludf.DUMMYFUNCTION("IFERROR(
  INDEX(
    FILTER(X7:BM7, ISNUMBER(X7:BM7)),
    COUNTA(FILTER(X7:BM7, ISNUMBER(X7:BM7)))
  ),
  BM7
)"),0.76)</f>
        <v>0.76</v>
      </c>
    </row>
    <row r="8">
      <c r="A8" s="27">
        <v>29.0</v>
      </c>
      <c r="B8" s="28" t="s">
        <v>69</v>
      </c>
      <c r="C8" s="28">
        <v>1112.0</v>
      </c>
      <c r="D8" s="28" t="s">
        <v>69</v>
      </c>
      <c r="E8" s="28">
        <v>1112.0</v>
      </c>
      <c r="F8" s="29" t="str">
        <f>IFERROR(VLOOKUP(M8:M81,'R22 RELATÓRIO ACC'!B:F,5,FALSE),"NOT PUBLISHED")</f>
        <v>V16</v>
      </c>
      <c r="G8" s="29" t="str">
        <f>IFERROR(VLOOKUP(M8:M79,'R22 RELATÓRIO ACC'!B:P,15,FALSE),"NOT PUBLISHED")</f>
        <v>14/05/2026</v>
      </c>
      <c r="H8" s="29" t="str">
        <f>IFERROR(VLOOKUP(N8:N81,'RELATÓRIO ACC'!B:F,5,FALSE),"NOT PUBLISHED")</f>
        <v>V4</v>
      </c>
      <c r="I8" s="29" t="str">
        <f>IFERROR(VLOOKUP(N8:N79,'RELATÓRIO ACC'!B:P,15,FALSE),"NOT PUBLISHED")</f>
        <v>13/07/2026</v>
      </c>
      <c r="J8" s="29" t="s">
        <v>93</v>
      </c>
      <c r="K8" s="29" t="s">
        <v>94</v>
      </c>
      <c r="L8" s="30" t="s">
        <v>72</v>
      </c>
      <c r="M8" s="38" t="s">
        <v>95</v>
      </c>
      <c r="N8" s="38" t="s">
        <v>96</v>
      </c>
      <c r="O8" s="30" t="s">
        <v>97</v>
      </c>
      <c r="P8" s="30" t="b">
        <v>0</v>
      </c>
      <c r="Q8" s="30" t="s">
        <v>76</v>
      </c>
      <c r="R8" s="30" t="s">
        <v>98</v>
      </c>
      <c r="S8" s="30"/>
      <c r="T8" s="30"/>
      <c r="U8" s="30"/>
      <c r="V8" s="29">
        <v>45923.0</v>
      </c>
      <c r="W8" s="29">
        <v>45923.0</v>
      </c>
      <c r="X8" s="30" t="s">
        <v>78</v>
      </c>
      <c r="Y8" s="30" t="s">
        <v>78</v>
      </c>
      <c r="Z8" s="32">
        <v>0.5</v>
      </c>
      <c r="AA8" s="33" t="s">
        <v>79</v>
      </c>
      <c r="AB8" s="33" t="s">
        <v>79</v>
      </c>
      <c r="AC8" s="33" t="s">
        <v>79</v>
      </c>
      <c r="AD8" s="32">
        <v>0.65</v>
      </c>
      <c r="AE8" s="33" t="s">
        <v>79</v>
      </c>
      <c r="AF8" s="32">
        <v>0.76</v>
      </c>
      <c r="AG8" s="34" t="s">
        <v>79</v>
      </c>
      <c r="AH8" s="33" t="s">
        <v>79</v>
      </c>
      <c r="AI8" s="32">
        <v>0.76</v>
      </c>
      <c r="AJ8" s="34" t="s">
        <v>79</v>
      </c>
      <c r="AK8" s="34" t="s">
        <v>79</v>
      </c>
      <c r="AL8" s="34" t="s">
        <v>79</v>
      </c>
      <c r="AM8" s="34" t="s">
        <v>79</v>
      </c>
      <c r="AN8" s="35">
        <v>0.76</v>
      </c>
      <c r="AO8" s="35">
        <v>0.88</v>
      </c>
      <c r="AP8" s="34" t="s">
        <v>79</v>
      </c>
      <c r="AQ8" s="35">
        <v>0.82</v>
      </c>
      <c r="AR8" s="34" t="s">
        <v>79</v>
      </c>
      <c r="AS8" s="35">
        <v>0.94</v>
      </c>
      <c r="AT8" s="34" t="s">
        <v>79</v>
      </c>
      <c r="AU8" s="35">
        <v>0.94</v>
      </c>
      <c r="AV8" s="34" t="s">
        <v>79</v>
      </c>
      <c r="AW8" s="34" t="s">
        <v>79</v>
      </c>
      <c r="AX8" s="34" t="s">
        <v>80</v>
      </c>
      <c r="AY8" s="35">
        <v>0.88</v>
      </c>
      <c r="AZ8" s="34" t="s">
        <v>79</v>
      </c>
      <c r="BA8" s="35">
        <v>0.94</v>
      </c>
      <c r="BB8" s="30" t="s">
        <v>79</v>
      </c>
      <c r="BC8" s="34" t="s">
        <v>80</v>
      </c>
      <c r="BD8" s="35">
        <v>0.88</v>
      </c>
      <c r="BE8" s="34" t="s">
        <v>79</v>
      </c>
      <c r="BF8" s="34" t="s">
        <v>80</v>
      </c>
      <c r="BG8" s="34" t="s">
        <v>81</v>
      </c>
      <c r="BH8" s="34" t="s">
        <v>79</v>
      </c>
      <c r="BI8" s="35">
        <v>0.88</v>
      </c>
      <c r="BJ8" s="34" t="s">
        <v>80</v>
      </c>
      <c r="BK8" s="35">
        <v>1.0</v>
      </c>
      <c r="BL8" s="34" t="s">
        <v>99</v>
      </c>
      <c r="BM8" s="34" t="s">
        <v>99</v>
      </c>
      <c r="BN8" s="30" t="s">
        <v>100</v>
      </c>
      <c r="BO8" s="39" t="s">
        <v>99</v>
      </c>
      <c r="BP8" s="35">
        <f>IFERROR(__xludf.DUMMYFUNCTION("IFERROR(
  INDEX(
    FILTER(X8:BK8, ISNUMBER(X8:BK8)),
    COUNTA(FILTER(X8:BK8, ISNUMBER(X8:BK8)))
  ),
  BK8
)"),1.0)</f>
        <v>1</v>
      </c>
    </row>
    <row r="9">
      <c r="A9" s="27">
        <v>73.0</v>
      </c>
      <c r="B9" s="40" t="s">
        <v>101</v>
      </c>
      <c r="C9" s="40"/>
      <c r="D9" s="40" t="s">
        <v>101</v>
      </c>
      <c r="E9" s="28"/>
      <c r="F9" s="29" t="str">
        <f>IFERROR(VLOOKUP(M9:M82,'R22 RELATÓRIO ACC'!B:F,5,FALSE),"NOT PUBLISHED")</f>
        <v>V1</v>
      </c>
      <c r="G9" s="29" t="str">
        <f>IFERROR(VLOOKUP(M9:M80,'R22 RELATÓRIO ACC'!B:P,15,FALSE),"NOT PUBLISHED")</f>
        <v>05/05/2026</v>
      </c>
      <c r="H9" s="29" t="str">
        <f>IFERROR(VLOOKUP(N9:N82,'RELATÓRIO ACC'!B:F,5,FALSE),"NOT PUBLISHED")</f>
        <v>V3</v>
      </c>
      <c r="I9" s="29" t="str">
        <f>IFERROR(VLOOKUP(N9:N80,'RELATÓRIO ACC'!B:P,15,FALSE),"NOT PUBLISHED")</f>
        <v>20/06/2026</v>
      </c>
      <c r="J9" s="29" t="s">
        <v>102</v>
      </c>
      <c r="K9" s="29" t="s">
        <v>103</v>
      </c>
      <c r="L9" s="30"/>
      <c r="M9" s="31" t="s">
        <v>104</v>
      </c>
      <c r="N9" s="31" t="s">
        <v>105</v>
      </c>
      <c r="O9" s="30"/>
      <c r="P9" s="30" t="b">
        <v>0</v>
      </c>
      <c r="Q9" s="30"/>
      <c r="R9" s="30"/>
      <c r="S9" s="30"/>
      <c r="T9" s="30"/>
      <c r="U9" s="30"/>
      <c r="V9" s="29"/>
      <c r="W9" s="29"/>
      <c r="X9" s="30" t="s">
        <v>78</v>
      </c>
      <c r="Y9" s="30" t="s">
        <v>78</v>
      </c>
      <c r="Z9" s="30" t="s">
        <v>78</v>
      </c>
      <c r="AA9" s="30" t="s">
        <v>78</v>
      </c>
      <c r="AB9" s="30" t="s">
        <v>78</v>
      </c>
      <c r="AC9" s="30" t="s">
        <v>78</v>
      </c>
      <c r="AD9" s="30" t="s">
        <v>78</v>
      </c>
      <c r="AE9" s="30" t="s">
        <v>78</v>
      </c>
      <c r="AF9" s="30" t="s">
        <v>78</v>
      </c>
      <c r="AG9" s="30" t="s">
        <v>78</v>
      </c>
      <c r="AH9" s="30" t="s">
        <v>78</v>
      </c>
      <c r="AI9" s="30" t="s">
        <v>78</v>
      </c>
      <c r="AJ9" s="30" t="s">
        <v>78</v>
      </c>
      <c r="AK9" s="30" t="s">
        <v>78</v>
      </c>
      <c r="AL9" s="30" t="s">
        <v>78</v>
      </c>
      <c r="AM9" s="30" t="s">
        <v>78</v>
      </c>
      <c r="AN9" s="30" t="s">
        <v>78</v>
      </c>
      <c r="AO9" s="30" t="s">
        <v>78</v>
      </c>
      <c r="AP9" s="30" t="s">
        <v>78</v>
      </c>
      <c r="AQ9" s="30" t="s">
        <v>78</v>
      </c>
      <c r="AR9" s="30" t="s">
        <v>78</v>
      </c>
      <c r="AS9" s="30" t="s">
        <v>78</v>
      </c>
      <c r="AT9" s="30" t="s">
        <v>78</v>
      </c>
      <c r="AU9" s="30" t="s">
        <v>78</v>
      </c>
      <c r="AV9" s="30" t="s">
        <v>78</v>
      </c>
      <c r="AW9" s="30" t="s">
        <v>78</v>
      </c>
      <c r="AX9" s="30" t="s">
        <v>78</v>
      </c>
      <c r="AY9" s="30" t="s">
        <v>78</v>
      </c>
      <c r="AZ9" s="30" t="s">
        <v>78</v>
      </c>
      <c r="BA9" s="30" t="s">
        <v>78</v>
      </c>
      <c r="BB9" s="30" t="s">
        <v>78</v>
      </c>
      <c r="BC9" s="30" t="s">
        <v>78</v>
      </c>
      <c r="BD9" s="34" t="s">
        <v>80</v>
      </c>
      <c r="BE9" s="35">
        <v>0.76</v>
      </c>
      <c r="BF9" s="34" t="s">
        <v>79</v>
      </c>
      <c r="BG9" s="34" t="s">
        <v>80</v>
      </c>
      <c r="BH9" s="35">
        <v>0.94</v>
      </c>
      <c r="BI9" s="34" t="s">
        <v>79</v>
      </c>
      <c r="BJ9" s="35">
        <v>1.0</v>
      </c>
      <c r="BK9" s="34" t="s">
        <v>99</v>
      </c>
      <c r="BL9" s="34" t="s">
        <v>99</v>
      </c>
      <c r="BM9" s="34" t="s">
        <v>99</v>
      </c>
      <c r="BN9" s="30" t="s">
        <v>100</v>
      </c>
      <c r="BO9" s="39" t="s">
        <v>99</v>
      </c>
      <c r="BP9" s="35">
        <f>IFERROR(__xludf.DUMMYFUNCTION("IFERROR(
  INDEX(
    FILTER(X9:BK9, ISNUMBER(X9:BK9)),
    COUNTA(FILTER(X9:BK9, ISNUMBER(X9:BK9)))
  ),
  BK9
)"),1.0)</f>
        <v>1</v>
      </c>
    </row>
    <row r="10" ht="16.5" customHeight="1">
      <c r="A10" s="27">
        <v>70.0</v>
      </c>
      <c r="B10" s="37" t="s">
        <v>106</v>
      </c>
      <c r="C10" s="37" t="s">
        <v>106</v>
      </c>
      <c r="D10" s="37" t="s">
        <v>106</v>
      </c>
      <c r="E10" s="37"/>
      <c r="F10" s="29" t="str">
        <f>IFERROR(VLOOKUP(M10:M83,'R22 RELATÓRIO ACC'!B:F,5,FALSE),"NOT PUBLISHED")</f>
        <v>V10</v>
      </c>
      <c r="G10" s="29" t="str">
        <f>IFERROR(VLOOKUP(M10:M81,'R22 RELATÓRIO ACC'!B:P,15,FALSE),"NOT PUBLISHED")</f>
        <v>11/05/2026</v>
      </c>
      <c r="H10" s="29" t="str">
        <f>IFERROR(VLOOKUP(N10:N83,'RELATÓRIO ACC'!B:F,5,FALSE),"NOT PUBLISHED")</f>
        <v>V3</v>
      </c>
      <c r="I10" s="29" t="str">
        <f>IFERROR(VLOOKUP(N10:N81,'RELATÓRIO ACC'!B:P,15,FALSE),"NOT PUBLISHED")</f>
        <v>09/06/2026</v>
      </c>
      <c r="J10" s="41">
        <v>46182.0</v>
      </c>
      <c r="K10" s="30" t="s">
        <v>94</v>
      </c>
      <c r="L10" s="30"/>
      <c r="M10" s="31" t="s">
        <v>107</v>
      </c>
      <c r="N10" s="31" t="s">
        <v>108</v>
      </c>
      <c r="O10" s="30" t="s">
        <v>109</v>
      </c>
      <c r="P10" s="30" t="b">
        <v>0</v>
      </c>
      <c r="Q10" s="30"/>
      <c r="R10" s="30"/>
      <c r="S10" s="30"/>
      <c r="T10" s="30"/>
      <c r="U10" s="30"/>
      <c r="V10" s="29"/>
      <c r="W10" s="29"/>
      <c r="X10" s="30" t="s">
        <v>78</v>
      </c>
      <c r="Y10" s="30" t="s">
        <v>78</v>
      </c>
      <c r="Z10" s="30" t="s">
        <v>78</v>
      </c>
      <c r="AA10" s="30" t="s">
        <v>78</v>
      </c>
      <c r="AB10" s="30" t="s">
        <v>78</v>
      </c>
      <c r="AC10" s="30" t="s">
        <v>78</v>
      </c>
      <c r="AD10" s="30" t="s">
        <v>78</v>
      </c>
      <c r="AE10" s="30" t="s">
        <v>78</v>
      </c>
      <c r="AF10" s="30" t="s">
        <v>78</v>
      </c>
      <c r="AG10" s="30" t="s">
        <v>78</v>
      </c>
      <c r="AH10" s="30" t="s">
        <v>78</v>
      </c>
      <c r="AI10" s="30" t="s">
        <v>78</v>
      </c>
      <c r="AJ10" s="30" t="s">
        <v>78</v>
      </c>
      <c r="AK10" s="30" t="s">
        <v>78</v>
      </c>
      <c r="AL10" s="30" t="s">
        <v>78</v>
      </c>
      <c r="AM10" s="30" t="s">
        <v>78</v>
      </c>
      <c r="AN10" s="30" t="s">
        <v>78</v>
      </c>
      <c r="AO10" s="30" t="s">
        <v>78</v>
      </c>
      <c r="AP10" s="35">
        <v>0.0</v>
      </c>
      <c r="AQ10" s="35">
        <v>0.65</v>
      </c>
      <c r="AR10" s="34" t="s">
        <v>79</v>
      </c>
      <c r="AS10" s="35">
        <v>0.82</v>
      </c>
      <c r="AT10" s="34" t="s">
        <v>81</v>
      </c>
      <c r="AU10" s="35">
        <v>0.94</v>
      </c>
      <c r="AV10" s="34" t="s">
        <v>79</v>
      </c>
      <c r="AW10" s="34" t="s">
        <v>79</v>
      </c>
      <c r="AX10" s="34" t="s">
        <v>79</v>
      </c>
      <c r="AY10" s="35">
        <v>0.94</v>
      </c>
      <c r="AZ10" s="34" t="s">
        <v>79</v>
      </c>
      <c r="BA10" s="35">
        <v>0.88</v>
      </c>
      <c r="BB10" s="30" t="s">
        <v>79</v>
      </c>
      <c r="BC10" s="35">
        <v>0.94</v>
      </c>
      <c r="BD10" s="34" t="s">
        <v>79</v>
      </c>
      <c r="BE10" s="34" t="s">
        <v>80</v>
      </c>
      <c r="BF10" s="35">
        <v>0.88</v>
      </c>
      <c r="BG10" s="35">
        <v>0.94</v>
      </c>
      <c r="BH10" s="34" t="s">
        <v>80</v>
      </c>
      <c r="BI10" s="35">
        <v>1.0</v>
      </c>
      <c r="BJ10" s="34" t="s">
        <v>99</v>
      </c>
      <c r="BK10" s="34" t="s">
        <v>99</v>
      </c>
      <c r="BL10" s="34" t="s">
        <v>99</v>
      </c>
      <c r="BM10" s="34" t="s">
        <v>99</v>
      </c>
      <c r="BN10" s="30" t="s">
        <v>100</v>
      </c>
      <c r="BO10" s="39" t="s">
        <v>99</v>
      </c>
      <c r="BP10" s="35">
        <f>IFERROR(__xludf.DUMMYFUNCTION("IFERROR(
  INDEX(
    FILTER(X10:BK10, ISNUMBER(X10:BK10)),
    COUNTA(FILTER(X10:BK10, ISNUMBER(X10:BK10)))
  ),
  BK10
)"),1.0)</f>
        <v>1</v>
      </c>
    </row>
    <row r="11">
      <c r="A11" s="27">
        <v>72.0</v>
      </c>
      <c r="B11" s="42" t="s">
        <v>110</v>
      </c>
      <c r="C11" s="42" t="s">
        <v>106</v>
      </c>
      <c r="D11" s="42" t="s">
        <v>110</v>
      </c>
      <c r="E11" s="43"/>
      <c r="F11" s="29" t="str">
        <f>IFERROR(VLOOKUP(M11:M84,'R22 RELATÓRIO ACC'!B:F,5,FALSE),"NOT PUBLISHED")</f>
        <v>V2</v>
      </c>
      <c r="G11" s="29" t="str">
        <f>IFERROR(VLOOKUP(M11:M82,'R22 RELATÓRIO ACC'!B:P,15,FALSE),"NOT PUBLISHED")</f>
        <v>07/05/2026</v>
      </c>
      <c r="H11" s="29" t="str">
        <f>IFERROR(VLOOKUP(N11:N84,'RELATÓRIO ACC'!B:F,5,FALSE),"NOT PUBLISHED")</f>
        <v>V5</v>
      </c>
      <c r="I11" s="29" t="str">
        <f>IFERROR(VLOOKUP(N11:N82,'RELATÓRIO ACC'!B:P,15,FALSE),"NOT PUBLISHED")</f>
        <v>08/07/2026</v>
      </c>
      <c r="J11" s="29" t="s">
        <v>111</v>
      </c>
      <c r="K11" s="29" t="s">
        <v>103</v>
      </c>
      <c r="L11" s="43"/>
      <c r="M11" s="31" t="s">
        <v>112</v>
      </c>
      <c r="N11" s="31" t="s">
        <v>112</v>
      </c>
      <c r="O11" s="30" t="s">
        <v>113</v>
      </c>
      <c r="P11" s="30" t="b">
        <v>0</v>
      </c>
      <c r="Q11" s="30"/>
      <c r="R11" s="30"/>
      <c r="S11" s="30"/>
      <c r="T11" s="30"/>
      <c r="U11" s="30"/>
      <c r="V11" s="29"/>
      <c r="W11" s="29"/>
      <c r="X11" s="30" t="s">
        <v>78</v>
      </c>
      <c r="Y11" s="30" t="s">
        <v>78</v>
      </c>
      <c r="Z11" s="30" t="s">
        <v>78</v>
      </c>
      <c r="AA11" s="30" t="s">
        <v>78</v>
      </c>
      <c r="AB11" s="30" t="s">
        <v>78</v>
      </c>
      <c r="AC11" s="30" t="s">
        <v>78</v>
      </c>
      <c r="AD11" s="30" t="s">
        <v>78</v>
      </c>
      <c r="AE11" s="30" t="s">
        <v>78</v>
      </c>
      <c r="AF11" s="30" t="s">
        <v>78</v>
      </c>
      <c r="AG11" s="30" t="s">
        <v>78</v>
      </c>
      <c r="AH11" s="30" t="s">
        <v>78</v>
      </c>
      <c r="AI11" s="30" t="s">
        <v>78</v>
      </c>
      <c r="AJ11" s="30" t="s">
        <v>78</v>
      </c>
      <c r="AK11" s="30" t="s">
        <v>78</v>
      </c>
      <c r="AL11" s="30" t="s">
        <v>78</v>
      </c>
      <c r="AM11" s="30" t="s">
        <v>78</v>
      </c>
      <c r="AN11" s="30" t="s">
        <v>78</v>
      </c>
      <c r="AO11" s="30" t="s">
        <v>78</v>
      </c>
      <c r="AP11" s="30" t="s">
        <v>78</v>
      </c>
      <c r="AQ11" s="30" t="s">
        <v>78</v>
      </c>
      <c r="AR11" s="30" t="s">
        <v>78</v>
      </c>
      <c r="AS11" s="30" t="s">
        <v>78</v>
      </c>
      <c r="AT11" s="30" t="s">
        <v>78</v>
      </c>
      <c r="AU11" s="30" t="s">
        <v>78</v>
      </c>
      <c r="AV11" s="30" t="s">
        <v>78</v>
      </c>
      <c r="AW11" s="30" t="s">
        <v>78</v>
      </c>
      <c r="AX11" s="30" t="s">
        <v>78</v>
      </c>
      <c r="AY11" s="30" t="s">
        <v>78</v>
      </c>
      <c r="AZ11" s="30" t="s">
        <v>78</v>
      </c>
      <c r="BA11" s="32">
        <v>0.47</v>
      </c>
      <c r="BB11" s="30" t="s">
        <v>79</v>
      </c>
      <c r="BC11" s="30" t="s">
        <v>79</v>
      </c>
      <c r="BD11" s="34" t="s">
        <v>80</v>
      </c>
      <c r="BE11" s="35">
        <v>0.65</v>
      </c>
      <c r="BF11" s="34" t="s">
        <v>79</v>
      </c>
      <c r="BG11" s="34" t="s">
        <v>79</v>
      </c>
      <c r="BH11" s="34" t="s">
        <v>79</v>
      </c>
      <c r="BI11" s="35">
        <v>1.0</v>
      </c>
      <c r="BJ11" s="34" t="s">
        <v>99</v>
      </c>
      <c r="BK11" s="34" t="s">
        <v>99</v>
      </c>
      <c r="BL11" s="34" t="s">
        <v>99</v>
      </c>
      <c r="BM11" s="34" t="s">
        <v>99</v>
      </c>
      <c r="BN11" s="30" t="s">
        <v>100</v>
      </c>
      <c r="BO11" s="39" t="s">
        <v>99</v>
      </c>
      <c r="BP11" s="35">
        <f>IFERROR(__xludf.DUMMYFUNCTION("IFERROR(
  INDEX(
    FILTER(X11:BK11, ISNUMBER(X11:BK11)),
    COUNTA(FILTER(X11:BK11, ISNUMBER(X11:BK11)))
  ),
  BK11
)"),1.0)</f>
        <v>1</v>
      </c>
    </row>
    <row r="12">
      <c r="A12" s="27">
        <v>74.0</v>
      </c>
      <c r="B12" s="40" t="s">
        <v>101</v>
      </c>
      <c r="C12" s="40"/>
      <c r="D12" s="40" t="s">
        <v>101</v>
      </c>
      <c r="E12" s="28"/>
      <c r="F12" s="29" t="str">
        <f>IFERROR(VLOOKUP(M12:M85,'R22 RELATÓRIO ACC'!B:F,5,FALSE),"NOT PUBLISHED")</f>
        <v>V1</v>
      </c>
      <c r="G12" s="29" t="str">
        <f>IFERROR(VLOOKUP(M12:M83,'R22 RELATÓRIO ACC'!B:P,15,FALSE),"NOT PUBLISHED")</f>
        <v>05/05/2026</v>
      </c>
      <c r="H12" s="29" t="str">
        <f>IFERROR(VLOOKUP(N12:N85,'RELATÓRIO ACC'!B:F,5,FALSE),"NOT PUBLISHED")</f>
        <v>V2</v>
      </c>
      <c r="I12" s="29" t="str">
        <f>IFERROR(VLOOKUP(N12:N83,'RELATÓRIO ACC'!B:P,15,FALSE),"NOT PUBLISHED")</f>
        <v>26/05/2026</v>
      </c>
      <c r="J12" s="29" t="s">
        <v>102</v>
      </c>
      <c r="K12" s="29" t="s">
        <v>103</v>
      </c>
      <c r="L12" s="30"/>
      <c r="M12" s="31" t="s">
        <v>114</v>
      </c>
      <c r="N12" s="31" t="s">
        <v>115</v>
      </c>
      <c r="O12" s="30"/>
      <c r="P12" s="30" t="b">
        <v>0</v>
      </c>
      <c r="Q12" s="30"/>
      <c r="R12" s="30"/>
      <c r="S12" s="30"/>
      <c r="T12" s="30"/>
      <c r="U12" s="30"/>
      <c r="V12" s="29"/>
      <c r="W12" s="29"/>
      <c r="X12" s="30" t="s">
        <v>78</v>
      </c>
      <c r="Y12" s="30" t="s">
        <v>78</v>
      </c>
      <c r="Z12" s="30" t="s">
        <v>78</v>
      </c>
      <c r="AA12" s="30" t="s">
        <v>78</v>
      </c>
      <c r="AB12" s="30" t="s">
        <v>78</v>
      </c>
      <c r="AC12" s="30" t="s">
        <v>78</v>
      </c>
      <c r="AD12" s="30" t="s">
        <v>78</v>
      </c>
      <c r="AE12" s="30" t="s">
        <v>78</v>
      </c>
      <c r="AF12" s="30" t="s">
        <v>78</v>
      </c>
      <c r="AG12" s="30" t="s">
        <v>78</v>
      </c>
      <c r="AH12" s="30" t="s">
        <v>78</v>
      </c>
      <c r="AI12" s="30" t="s">
        <v>78</v>
      </c>
      <c r="AJ12" s="30" t="s">
        <v>78</v>
      </c>
      <c r="AK12" s="30" t="s">
        <v>78</v>
      </c>
      <c r="AL12" s="30" t="s">
        <v>78</v>
      </c>
      <c r="AM12" s="30" t="s">
        <v>78</v>
      </c>
      <c r="AN12" s="30" t="s">
        <v>78</v>
      </c>
      <c r="AO12" s="30" t="s">
        <v>78</v>
      </c>
      <c r="AP12" s="30" t="s">
        <v>78</v>
      </c>
      <c r="AQ12" s="30" t="s">
        <v>78</v>
      </c>
      <c r="AR12" s="30" t="s">
        <v>78</v>
      </c>
      <c r="AS12" s="30" t="s">
        <v>78</v>
      </c>
      <c r="AT12" s="30" t="s">
        <v>78</v>
      </c>
      <c r="AU12" s="30" t="s">
        <v>78</v>
      </c>
      <c r="AV12" s="30" t="s">
        <v>78</v>
      </c>
      <c r="AW12" s="30" t="s">
        <v>78</v>
      </c>
      <c r="AX12" s="30" t="s">
        <v>78</v>
      </c>
      <c r="AY12" s="30" t="s">
        <v>78</v>
      </c>
      <c r="AZ12" s="30" t="s">
        <v>78</v>
      </c>
      <c r="BA12" s="30" t="s">
        <v>78</v>
      </c>
      <c r="BB12" s="30" t="s">
        <v>78</v>
      </c>
      <c r="BC12" s="30" t="s">
        <v>78</v>
      </c>
      <c r="BD12" s="34" t="s">
        <v>80</v>
      </c>
      <c r="BE12" s="35">
        <v>0.82</v>
      </c>
      <c r="BF12" s="34" t="s">
        <v>79</v>
      </c>
      <c r="BG12" s="34" t="s">
        <v>80</v>
      </c>
      <c r="BH12" s="35">
        <v>1.0</v>
      </c>
      <c r="BI12" s="34" t="s">
        <v>99</v>
      </c>
      <c r="BJ12" s="34" t="s">
        <v>99</v>
      </c>
      <c r="BK12" s="34" t="s">
        <v>99</v>
      </c>
      <c r="BL12" s="34" t="s">
        <v>99</v>
      </c>
      <c r="BM12" s="34" t="s">
        <v>99</v>
      </c>
      <c r="BN12" s="30" t="s">
        <v>100</v>
      </c>
      <c r="BO12" s="39" t="s">
        <v>99</v>
      </c>
      <c r="BP12" s="35">
        <f>IFERROR(__xludf.DUMMYFUNCTION("IFERROR(
  INDEX(
    FILTER(X12:BK12, ISNUMBER(X12:BK12)),
    COUNTA(FILTER(X12:BK12, ISNUMBER(X12:BK12)))
  ),
  BK12
)"),1.0)</f>
        <v>1</v>
      </c>
    </row>
    <row r="13">
      <c r="A13" s="27">
        <v>27.0</v>
      </c>
      <c r="B13" s="28" t="s">
        <v>69</v>
      </c>
      <c r="C13" s="28">
        <v>1112.0</v>
      </c>
      <c r="D13" s="28" t="s">
        <v>69</v>
      </c>
      <c r="E13" s="28">
        <v>1112.0</v>
      </c>
      <c r="F13" s="29" t="str">
        <f>IFERROR(VLOOKUP(M13:M86,'R22 RELATÓRIO ACC'!B:F,5,FALSE),"NOT PUBLISHED")</f>
        <v>V11</v>
      </c>
      <c r="G13" s="29" t="str">
        <f>IFERROR(VLOOKUP(M13:M84,'R22 RELATÓRIO ACC'!B:P,15,FALSE),"NOT PUBLISHED")</f>
        <v>08/05/2026</v>
      </c>
      <c r="H13" s="29" t="str">
        <f>IFERROR(VLOOKUP(N13:N86,'RELATÓRIO ACC'!B:F,5,FALSE),"NOT PUBLISHED")</f>
        <v>V3</v>
      </c>
      <c r="I13" s="29" t="str">
        <f>IFERROR(VLOOKUP(N13:N84,'RELATÓRIO ACC'!B:P,15,FALSE),"NOT PUBLISHED")</f>
        <v>10/07/2026</v>
      </c>
      <c r="J13" s="29" t="s">
        <v>116</v>
      </c>
      <c r="K13" s="30" t="s">
        <v>117</v>
      </c>
      <c r="L13" s="30" t="s">
        <v>72</v>
      </c>
      <c r="M13" s="31" t="s">
        <v>118</v>
      </c>
      <c r="N13" s="31" t="s">
        <v>119</v>
      </c>
      <c r="O13" s="30" t="s">
        <v>120</v>
      </c>
      <c r="P13" s="30" t="b">
        <v>0</v>
      </c>
      <c r="Q13" s="30" t="s">
        <v>76</v>
      </c>
      <c r="R13" s="30" t="s">
        <v>77</v>
      </c>
      <c r="S13" s="30"/>
      <c r="T13" s="30"/>
      <c r="U13" s="30"/>
      <c r="V13" s="29"/>
      <c r="W13" s="29">
        <v>45874.0</v>
      </c>
      <c r="X13" s="30" t="s">
        <v>78</v>
      </c>
      <c r="Y13" s="30" t="s">
        <v>78</v>
      </c>
      <c r="Z13" s="30" t="s">
        <v>78</v>
      </c>
      <c r="AA13" s="30" t="s">
        <v>78</v>
      </c>
      <c r="AB13" s="30" t="s">
        <v>78</v>
      </c>
      <c r="AC13" s="30" t="s">
        <v>78</v>
      </c>
      <c r="AD13" s="32">
        <v>0.88</v>
      </c>
      <c r="AE13" s="33" t="s">
        <v>79</v>
      </c>
      <c r="AF13" s="34" t="s">
        <v>79</v>
      </c>
      <c r="AG13" s="34" t="s">
        <v>79</v>
      </c>
      <c r="AH13" s="33" t="s">
        <v>79</v>
      </c>
      <c r="AI13" s="33" t="s">
        <v>79</v>
      </c>
      <c r="AJ13" s="34" t="s">
        <v>79</v>
      </c>
      <c r="AK13" s="34" t="s">
        <v>79</v>
      </c>
      <c r="AL13" s="34" t="s">
        <v>79</v>
      </c>
      <c r="AM13" s="34" t="s">
        <v>79</v>
      </c>
      <c r="AN13" s="35">
        <v>0.94</v>
      </c>
      <c r="AO13" s="35">
        <v>0.94</v>
      </c>
      <c r="AP13" s="34" t="s">
        <v>79</v>
      </c>
      <c r="AQ13" s="35">
        <v>0.94</v>
      </c>
      <c r="AR13" s="34" t="s">
        <v>79</v>
      </c>
      <c r="AS13" s="35">
        <v>0.88</v>
      </c>
      <c r="AT13" s="34" t="s">
        <v>79</v>
      </c>
      <c r="AU13" s="35">
        <v>0.94</v>
      </c>
      <c r="AV13" s="34" t="s">
        <v>79</v>
      </c>
      <c r="AW13" s="34" t="s">
        <v>80</v>
      </c>
      <c r="AX13" s="35">
        <v>0.88</v>
      </c>
      <c r="AY13" s="34" t="s">
        <v>79</v>
      </c>
      <c r="AZ13" s="35">
        <v>0.88</v>
      </c>
      <c r="BA13" s="34" t="s">
        <v>79</v>
      </c>
      <c r="BB13" s="34" t="s">
        <v>79</v>
      </c>
      <c r="BC13" s="30" t="s">
        <v>79</v>
      </c>
      <c r="BD13" s="34" t="s">
        <v>80</v>
      </c>
      <c r="BE13" s="35">
        <v>1.0</v>
      </c>
      <c r="BF13" s="34" t="s">
        <v>99</v>
      </c>
      <c r="BG13" s="34" t="s">
        <v>99</v>
      </c>
      <c r="BH13" s="34" t="s">
        <v>99</v>
      </c>
      <c r="BI13" s="34" t="s">
        <v>99</v>
      </c>
      <c r="BJ13" s="34" t="s">
        <v>99</v>
      </c>
      <c r="BK13" s="34" t="s">
        <v>99</v>
      </c>
      <c r="BL13" s="34" t="s">
        <v>99</v>
      </c>
      <c r="BM13" s="34" t="s">
        <v>99</v>
      </c>
      <c r="BN13" s="30" t="s">
        <v>100</v>
      </c>
      <c r="BO13" s="39" t="s">
        <v>99</v>
      </c>
      <c r="BP13" s="35">
        <f>IFERROR(__xludf.DUMMYFUNCTION("IFERROR(
  INDEX(
    FILTER(X13:BK13, ISNUMBER(X13:BK13)),
    COUNTA(FILTER(X13:BK13, ISNUMBER(X13:BK13)))
  ),
  BK13
)"),1.0)</f>
        <v>1</v>
      </c>
    </row>
    <row r="14">
      <c r="A14" s="27">
        <v>1.0</v>
      </c>
      <c r="B14" s="37" t="s">
        <v>121</v>
      </c>
      <c r="C14" s="37">
        <v>1130.0</v>
      </c>
      <c r="D14" s="37" t="s">
        <v>121</v>
      </c>
      <c r="E14" s="37">
        <v>1130.0</v>
      </c>
      <c r="F14" s="29" t="str">
        <f>IFERROR(VLOOKUP(M14:M87,'R22 RELATÓRIO ACC'!B:F,5,FALSE),"NOT PUBLISHED")</f>
        <v>V28</v>
      </c>
      <c r="G14" s="29" t="str">
        <f>IFERROR(VLOOKUP(M14:M85,'R22 RELATÓRIO ACC'!B:P,15,FALSE),"NOT PUBLISHED")</f>
        <v>17/04/2026</v>
      </c>
      <c r="H14" s="29" t="str">
        <f>IFERROR(VLOOKUP(N14:N87,'RELATÓRIO ACC'!B:F,5,FALSE),"NOT PUBLISHED")</f>
        <v>V4</v>
      </c>
      <c r="I14" s="29" t="str">
        <f>IFERROR(VLOOKUP(N14:N85,'RELATÓRIO ACC'!B:P,15,FALSE),"NOT PUBLISHED")</f>
        <v>15/07/2026</v>
      </c>
      <c r="J14" s="29">
        <v>45971.0</v>
      </c>
      <c r="K14" s="30" t="s">
        <v>122</v>
      </c>
      <c r="L14" s="30" t="s">
        <v>123</v>
      </c>
      <c r="M14" s="31" t="s">
        <v>124</v>
      </c>
      <c r="N14" s="31" t="s">
        <v>125</v>
      </c>
      <c r="O14" s="30" t="s">
        <v>126</v>
      </c>
      <c r="P14" s="30" t="b">
        <v>0</v>
      </c>
      <c r="Q14" s="30" t="s">
        <v>76</v>
      </c>
      <c r="R14" s="30" t="s">
        <v>127</v>
      </c>
      <c r="S14" s="30" t="s">
        <v>128</v>
      </c>
      <c r="T14" s="30" t="s">
        <v>128</v>
      </c>
      <c r="U14" s="30" t="s">
        <v>129</v>
      </c>
      <c r="V14" s="29">
        <v>45944.0</v>
      </c>
      <c r="W14" s="29">
        <v>45944.0</v>
      </c>
      <c r="X14" s="30" t="s">
        <v>78</v>
      </c>
      <c r="Y14" s="30" t="s">
        <v>78</v>
      </c>
      <c r="Z14" s="32">
        <v>0.5</v>
      </c>
      <c r="AA14" s="32">
        <v>0.63</v>
      </c>
      <c r="AB14" s="32">
        <v>0.82</v>
      </c>
      <c r="AC14" s="32">
        <v>1.0</v>
      </c>
      <c r="AD14" s="32">
        <v>0.94</v>
      </c>
      <c r="AE14" s="32">
        <v>0.94</v>
      </c>
      <c r="AF14" s="33" t="s">
        <v>79</v>
      </c>
      <c r="AG14" s="33" t="s">
        <v>79</v>
      </c>
      <c r="AH14" s="32">
        <v>0.94</v>
      </c>
      <c r="AI14" s="32">
        <v>0.94</v>
      </c>
      <c r="AJ14" s="33" t="s">
        <v>79</v>
      </c>
      <c r="AK14" s="32">
        <v>1.0</v>
      </c>
      <c r="AL14" s="32">
        <v>1.0</v>
      </c>
      <c r="AM14" s="32">
        <v>1.0</v>
      </c>
      <c r="AN14" s="32">
        <v>1.0</v>
      </c>
      <c r="AO14" s="32">
        <v>1.0</v>
      </c>
      <c r="AP14" s="32">
        <v>1.0</v>
      </c>
      <c r="AQ14" s="32">
        <v>1.0</v>
      </c>
      <c r="AR14" s="32">
        <v>1.0</v>
      </c>
      <c r="AS14" s="32">
        <v>1.0</v>
      </c>
      <c r="AT14" s="32">
        <v>1.0</v>
      </c>
      <c r="AU14" s="32">
        <v>1.0</v>
      </c>
      <c r="AV14" s="32">
        <v>1.0</v>
      </c>
      <c r="AW14" s="32">
        <v>1.0</v>
      </c>
      <c r="AX14" s="32">
        <v>1.0</v>
      </c>
      <c r="AY14" s="32">
        <v>1.0</v>
      </c>
      <c r="AZ14" s="32">
        <v>1.0</v>
      </c>
      <c r="BA14" s="39" t="s">
        <v>99</v>
      </c>
      <c r="BB14" s="39" t="s">
        <v>99</v>
      </c>
      <c r="BC14" s="39" t="s">
        <v>99</v>
      </c>
      <c r="BD14" s="39" t="s">
        <v>99</v>
      </c>
      <c r="BE14" s="39" t="s">
        <v>99</v>
      </c>
      <c r="BF14" s="39" t="s">
        <v>99</v>
      </c>
      <c r="BG14" s="39" t="s">
        <v>99</v>
      </c>
      <c r="BH14" s="39" t="s">
        <v>99</v>
      </c>
      <c r="BI14" s="39" t="s">
        <v>99</v>
      </c>
      <c r="BJ14" s="39" t="s">
        <v>99</v>
      </c>
      <c r="BK14" s="39" t="s">
        <v>99</v>
      </c>
      <c r="BL14" s="39" t="s">
        <v>99</v>
      </c>
      <c r="BM14" s="39" t="s">
        <v>99</v>
      </c>
      <c r="BN14" s="30" t="s">
        <v>100</v>
      </c>
      <c r="BO14" s="39" t="s">
        <v>99</v>
      </c>
      <c r="BP14" s="35">
        <f>IFERROR(__xludf.DUMMYFUNCTION("IFERROR(
  INDEX(
    FILTER(X14:BK14, ISNUMBER(X14:BK14)),
    COUNTA(FILTER(X14:BK14, ISNUMBER(X14:BK14)))
  ),
  BK14
)"),1.0)</f>
        <v>1</v>
      </c>
      <c r="BQ14" s="44"/>
      <c r="BR14" s="45"/>
      <c r="BS14" s="45"/>
      <c r="BT14" s="45"/>
      <c r="BU14" s="45"/>
      <c r="BV14" s="45"/>
    </row>
    <row r="15">
      <c r="A15" s="27">
        <v>2.0</v>
      </c>
      <c r="B15" s="46" t="s">
        <v>130</v>
      </c>
      <c r="C15" s="46"/>
      <c r="D15" s="46" t="s">
        <v>130</v>
      </c>
      <c r="E15" s="46"/>
      <c r="F15" s="29" t="str">
        <f>IFERROR(VLOOKUP(M15:M88,'R22 RELATÓRIO ACC'!B:F,5,FALSE),"NOT PUBLISHED")</f>
        <v>V10</v>
      </c>
      <c r="G15" s="29" t="str">
        <f>IFERROR(VLOOKUP(M15:M86,'R22 RELATÓRIO ACC'!B:P,15,FALSE),"NOT PUBLISHED")</f>
        <v>22/04/2026</v>
      </c>
      <c r="H15" s="29" t="str">
        <f>IFERROR(VLOOKUP(N15:N88,'RELATÓRIO ACC'!B:F,5,FALSE),"NOT PUBLISHED")</f>
        <v>V1</v>
      </c>
      <c r="I15" s="29" t="str">
        <f>IFERROR(VLOOKUP(N15:N86,'RELATÓRIO ACC'!B:P,15,FALSE),"NOT PUBLISHED")</f>
        <v>15/05/2026</v>
      </c>
      <c r="J15" s="29">
        <v>45957.0</v>
      </c>
      <c r="K15" s="30" t="s">
        <v>131</v>
      </c>
      <c r="L15" s="30" t="s">
        <v>123</v>
      </c>
      <c r="M15" s="31" t="s">
        <v>132</v>
      </c>
      <c r="N15" s="31" t="s">
        <v>133</v>
      </c>
      <c r="O15" s="30" t="s">
        <v>134</v>
      </c>
      <c r="P15" s="30" t="b">
        <v>0</v>
      </c>
      <c r="Q15" s="30" t="s">
        <v>76</v>
      </c>
      <c r="R15" s="30" t="s">
        <v>127</v>
      </c>
      <c r="S15" s="30" t="s">
        <v>128</v>
      </c>
      <c r="T15" s="30" t="s">
        <v>128</v>
      </c>
      <c r="U15" s="30" t="s">
        <v>129</v>
      </c>
      <c r="V15" s="29">
        <v>45944.0</v>
      </c>
      <c r="W15" s="29">
        <v>45944.0</v>
      </c>
      <c r="X15" s="30" t="s">
        <v>78</v>
      </c>
      <c r="Y15" s="30" t="s">
        <v>78</v>
      </c>
      <c r="Z15" s="30" t="s">
        <v>78</v>
      </c>
      <c r="AA15" s="30" t="s">
        <v>78</v>
      </c>
      <c r="AB15" s="30" t="s">
        <v>78</v>
      </c>
      <c r="AC15" s="32">
        <v>0.41</v>
      </c>
      <c r="AD15" s="33" t="s">
        <v>79</v>
      </c>
      <c r="AE15" s="32">
        <v>0.88</v>
      </c>
      <c r="AF15" s="33" t="s">
        <v>79</v>
      </c>
      <c r="AG15" s="33" t="s">
        <v>79</v>
      </c>
      <c r="AH15" s="32">
        <v>0.94</v>
      </c>
      <c r="AI15" s="33" t="s">
        <v>79</v>
      </c>
      <c r="AJ15" s="35">
        <v>1.0</v>
      </c>
      <c r="AK15" s="35">
        <v>1.0</v>
      </c>
      <c r="AL15" s="35">
        <v>1.0</v>
      </c>
      <c r="AM15" s="32">
        <v>1.0</v>
      </c>
      <c r="AN15" s="32">
        <v>1.0</v>
      </c>
      <c r="AO15" s="32">
        <v>1.0</v>
      </c>
      <c r="AP15" s="32">
        <v>1.0</v>
      </c>
      <c r="AQ15" s="32">
        <v>1.0</v>
      </c>
      <c r="AR15" s="32">
        <v>1.0</v>
      </c>
      <c r="AS15" s="32">
        <v>1.0</v>
      </c>
      <c r="AT15" s="32">
        <v>1.0</v>
      </c>
      <c r="AU15" s="32">
        <v>1.0</v>
      </c>
      <c r="AV15" s="32">
        <v>1.0</v>
      </c>
      <c r="AW15" s="32">
        <v>1.0</v>
      </c>
      <c r="AX15" s="32">
        <v>1.0</v>
      </c>
      <c r="AY15" s="32">
        <v>1.0</v>
      </c>
      <c r="AZ15" s="32">
        <v>1.0</v>
      </c>
      <c r="BA15" s="39" t="s">
        <v>99</v>
      </c>
      <c r="BB15" s="39" t="s">
        <v>99</v>
      </c>
      <c r="BC15" s="39" t="s">
        <v>99</v>
      </c>
      <c r="BD15" s="39" t="s">
        <v>99</v>
      </c>
      <c r="BE15" s="39" t="s">
        <v>99</v>
      </c>
      <c r="BF15" s="39" t="s">
        <v>99</v>
      </c>
      <c r="BG15" s="39" t="s">
        <v>99</v>
      </c>
      <c r="BH15" s="39" t="s">
        <v>99</v>
      </c>
      <c r="BI15" s="39" t="s">
        <v>99</v>
      </c>
      <c r="BJ15" s="39" t="s">
        <v>99</v>
      </c>
      <c r="BK15" s="39" t="s">
        <v>99</v>
      </c>
      <c r="BL15" s="39" t="s">
        <v>99</v>
      </c>
      <c r="BM15" s="39" t="s">
        <v>99</v>
      </c>
      <c r="BN15" s="47" t="s">
        <v>100</v>
      </c>
      <c r="BO15" s="39" t="s">
        <v>99</v>
      </c>
      <c r="BP15" s="35">
        <f>IFERROR(__xludf.DUMMYFUNCTION("IFERROR(
  INDEX(
    FILTER(X15:BK15, ISNUMBER(X15:BK15)),
    COUNTA(FILTER(X15:BK15, ISNUMBER(X15:BK15)))
  ),
  BK15
)"),1.0)</f>
        <v>1</v>
      </c>
    </row>
    <row r="16">
      <c r="A16" s="27">
        <v>3.0</v>
      </c>
      <c r="B16" s="48" t="s">
        <v>135</v>
      </c>
      <c r="C16" s="48"/>
      <c r="D16" s="48" t="s">
        <v>135</v>
      </c>
      <c r="E16" s="49"/>
      <c r="F16" s="29" t="str">
        <f>IFERROR(VLOOKUP(M16:M89,'R22 RELATÓRIO ACC'!B:F,5,FALSE),"NOT PUBLISHED")</f>
        <v>V9</v>
      </c>
      <c r="G16" s="29" t="str">
        <f>IFERROR(VLOOKUP(M16:M87,'R22 RELATÓRIO ACC'!B:P,15,FALSE),"NOT PUBLISHED")</f>
        <v>28/02/2026</v>
      </c>
      <c r="H16" s="29" t="str">
        <f>IFERROR(VLOOKUP(N16:N89,'RELATÓRIO ACC'!B:F,5,FALSE),"NOT PUBLISHED")</f>
        <v>V1</v>
      </c>
      <c r="I16" s="29" t="str">
        <f>IFERROR(VLOOKUP(N16:N87,'RELATÓRIO ACC'!B:P,15,FALSE),"NOT PUBLISHED")</f>
        <v>20/05/2026</v>
      </c>
      <c r="J16" s="29">
        <v>45970.0</v>
      </c>
      <c r="K16" s="30" t="s">
        <v>136</v>
      </c>
      <c r="L16" s="30" t="s">
        <v>72</v>
      </c>
      <c r="M16" s="31" t="s">
        <v>137</v>
      </c>
      <c r="N16" s="31" t="s">
        <v>138</v>
      </c>
      <c r="O16" s="30" t="s">
        <v>139</v>
      </c>
      <c r="P16" s="30" t="b">
        <v>0</v>
      </c>
      <c r="Q16" s="30" t="s">
        <v>76</v>
      </c>
      <c r="R16" s="30" t="s">
        <v>98</v>
      </c>
      <c r="S16" s="30"/>
      <c r="T16" s="30"/>
      <c r="U16" s="30"/>
      <c r="V16" s="29">
        <v>45923.0</v>
      </c>
      <c r="W16" s="29">
        <v>45923.0</v>
      </c>
      <c r="X16" s="30" t="s">
        <v>78</v>
      </c>
      <c r="Y16" s="30" t="s">
        <v>78</v>
      </c>
      <c r="Z16" s="30" t="s">
        <v>78</v>
      </c>
      <c r="AA16" s="30" t="s">
        <v>78</v>
      </c>
      <c r="AB16" s="30" t="s">
        <v>78</v>
      </c>
      <c r="AC16" s="30" t="s">
        <v>78</v>
      </c>
      <c r="AD16" s="30" t="s">
        <v>78</v>
      </c>
      <c r="AE16" s="32">
        <v>0.82</v>
      </c>
      <c r="AF16" s="32">
        <v>0.82</v>
      </c>
      <c r="AG16" s="33" t="s">
        <v>79</v>
      </c>
      <c r="AH16" s="33" t="s">
        <v>79</v>
      </c>
      <c r="AI16" s="33" t="s">
        <v>79</v>
      </c>
      <c r="AJ16" s="35">
        <v>0.94</v>
      </c>
      <c r="AK16" s="32">
        <v>1.0</v>
      </c>
      <c r="AL16" s="32">
        <v>1.0</v>
      </c>
      <c r="AM16" s="32">
        <v>1.0</v>
      </c>
      <c r="AN16" s="32">
        <v>1.0</v>
      </c>
      <c r="AO16" s="32">
        <v>1.0</v>
      </c>
      <c r="AP16" s="32">
        <v>1.0</v>
      </c>
      <c r="AQ16" s="32">
        <v>1.0</v>
      </c>
      <c r="AR16" s="32">
        <v>1.0</v>
      </c>
      <c r="AS16" s="32">
        <v>1.0</v>
      </c>
      <c r="AT16" s="32">
        <v>1.0</v>
      </c>
      <c r="AU16" s="32">
        <v>1.0</v>
      </c>
      <c r="AV16" s="32">
        <v>1.0</v>
      </c>
      <c r="AW16" s="32">
        <v>1.0</v>
      </c>
      <c r="AX16" s="32">
        <v>1.0</v>
      </c>
      <c r="AY16" s="32">
        <v>1.0</v>
      </c>
      <c r="AZ16" s="32">
        <v>1.0</v>
      </c>
      <c r="BA16" s="39" t="s">
        <v>99</v>
      </c>
      <c r="BB16" s="39" t="s">
        <v>99</v>
      </c>
      <c r="BC16" s="39" t="s">
        <v>99</v>
      </c>
      <c r="BD16" s="39" t="s">
        <v>99</v>
      </c>
      <c r="BE16" s="39" t="s">
        <v>99</v>
      </c>
      <c r="BF16" s="39" t="s">
        <v>99</v>
      </c>
      <c r="BG16" s="39" t="s">
        <v>99</v>
      </c>
      <c r="BH16" s="39" t="s">
        <v>99</v>
      </c>
      <c r="BI16" s="39" t="s">
        <v>99</v>
      </c>
      <c r="BJ16" s="39" t="s">
        <v>99</v>
      </c>
      <c r="BK16" s="39" t="s">
        <v>99</v>
      </c>
      <c r="BL16" s="39" t="s">
        <v>99</v>
      </c>
      <c r="BM16" s="39" t="s">
        <v>99</v>
      </c>
      <c r="BN16" s="30" t="s">
        <v>100</v>
      </c>
      <c r="BO16" s="39" t="s">
        <v>99</v>
      </c>
      <c r="BP16" s="35">
        <f>IFERROR(__xludf.DUMMYFUNCTION("IFERROR(
  INDEX(
    FILTER(X16:BK16, ISNUMBER(X16:BK16)),
    COUNTA(FILTER(X16:BK16, ISNUMBER(X16:BK16)))
  ),
  BK16
)"),1.0)</f>
        <v>1</v>
      </c>
    </row>
    <row r="17">
      <c r="A17" s="27">
        <v>4.0</v>
      </c>
      <c r="B17" s="36" t="s">
        <v>83</v>
      </c>
      <c r="C17" s="36">
        <v>1101.0</v>
      </c>
      <c r="D17" s="36" t="s">
        <v>140</v>
      </c>
      <c r="E17" s="36">
        <v>1126.0</v>
      </c>
      <c r="F17" s="29" t="str">
        <f>IFERROR(VLOOKUP(M17:M90,'R22 RELATÓRIO ACC'!B:F,5,FALSE),"NOT PUBLISHED")</f>
        <v>V14</v>
      </c>
      <c r="G17" s="29" t="str">
        <f>IFERROR(VLOOKUP(M17:M88,'R22 RELATÓRIO ACC'!B:P,15,FALSE),"NOT PUBLISHED")</f>
        <v>30/01/2026</v>
      </c>
      <c r="H17" s="29" t="str">
        <f>IFERROR(VLOOKUP(N17:N90,'RELATÓRIO ACC'!B:F,5,FALSE),"NOT PUBLISHED")</f>
        <v>V1</v>
      </c>
      <c r="I17" s="29" t="str">
        <f>IFERROR(VLOOKUP(N17:N88,'RELATÓRIO ACC'!B:P,15,FALSE),"NOT PUBLISHED")</f>
        <v>19/05/2026</v>
      </c>
      <c r="J17" s="50">
        <v>45671.0</v>
      </c>
      <c r="K17" s="30" t="s">
        <v>141</v>
      </c>
      <c r="L17" s="30" t="s">
        <v>72</v>
      </c>
      <c r="M17" s="31" t="s">
        <v>142</v>
      </c>
      <c r="N17" s="31" t="s">
        <v>143</v>
      </c>
      <c r="O17" s="30" t="s">
        <v>144</v>
      </c>
      <c r="P17" s="30" t="b">
        <v>0</v>
      </c>
      <c r="Q17" s="30" t="s">
        <v>76</v>
      </c>
      <c r="R17" s="30" t="s">
        <v>127</v>
      </c>
      <c r="S17" s="30" t="s">
        <v>128</v>
      </c>
      <c r="T17" s="30" t="s">
        <v>128</v>
      </c>
      <c r="U17" s="30" t="s">
        <v>145</v>
      </c>
      <c r="V17" s="29">
        <v>45951.0</v>
      </c>
      <c r="W17" s="29">
        <v>45951.0</v>
      </c>
      <c r="X17" s="30" t="s">
        <v>78</v>
      </c>
      <c r="Y17" s="32">
        <v>0.5</v>
      </c>
      <c r="Z17" s="32">
        <v>0.47</v>
      </c>
      <c r="AA17" s="32">
        <v>0.5</v>
      </c>
      <c r="AB17" s="34" t="s">
        <v>79</v>
      </c>
      <c r="AC17" s="32">
        <v>0.65</v>
      </c>
      <c r="AD17" s="32">
        <v>0.82</v>
      </c>
      <c r="AE17" s="32">
        <v>0.76</v>
      </c>
      <c r="AF17" s="33" t="s">
        <v>79</v>
      </c>
      <c r="AG17" s="33" t="s">
        <v>79</v>
      </c>
      <c r="AH17" s="33" t="s">
        <v>79</v>
      </c>
      <c r="AI17" s="32">
        <v>0.82</v>
      </c>
      <c r="AJ17" s="33" t="s">
        <v>79</v>
      </c>
      <c r="AK17" s="33" t="s">
        <v>79</v>
      </c>
      <c r="AL17" s="33" t="s">
        <v>79</v>
      </c>
      <c r="AM17" s="34" t="s">
        <v>79</v>
      </c>
      <c r="AN17" s="34" t="s">
        <v>79</v>
      </c>
      <c r="AO17" s="32">
        <v>1.0</v>
      </c>
      <c r="AP17" s="32">
        <v>1.0</v>
      </c>
      <c r="AQ17" s="32">
        <v>1.0</v>
      </c>
      <c r="AR17" s="32">
        <v>1.0</v>
      </c>
      <c r="AS17" s="32">
        <v>1.0</v>
      </c>
      <c r="AT17" s="32">
        <v>1.0</v>
      </c>
      <c r="AU17" s="32">
        <v>1.0</v>
      </c>
      <c r="AV17" s="32">
        <v>1.0</v>
      </c>
      <c r="AW17" s="32">
        <v>1.0</v>
      </c>
      <c r="AX17" s="32">
        <v>1.0</v>
      </c>
      <c r="AY17" s="32">
        <v>1.0</v>
      </c>
      <c r="AZ17" s="32">
        <v>1.0</v>
      </c>
      <c r="BA17" s="39" t="s">
        <v>99</v>
      </c>
      <c r="BB17" s="39" t="s">
        <v>99</v>
      </c>
      <c r="BC17" s="39" t="s">
        <v>99</v>
      </c>
      <c r="BD17" s="39" t="s">
        <v>99</v>
      </c>
      <c r="BE17" s="39" t="s">
        <v>99</v>
      </c>
      <c r="BF17" s="39" t="s">
        <v>99</v>
      </c>
      <c r="BG17" s="39" t="s">
        <v>99</v>
      </c>
      <c r="BH17" s="39" t="s">
        <v>99</v>
      </c>
      <c r="BI17" s="39" t="s">
        <v>99</v>
      </c>
      <c r="BJ17" s="39" t="s">
        <v>99</v>
      </c>
      <c r="BK17" s="39" t="s">
        <v>99</v>
      </c>
      <c r="BL17" s="39" t="s">
        <v>99</v>
      </c>
      <c r="BM17" s="39" t="s">
        <v>99</v>
      </c>
      <c r="BN17" s="30" t="s">
        <v>100</v>
      </c>
      <c r="BO17" s="39" t="s">
        <v>99</v>
      </c>
      <c r="BP17" s="35">
        <f>IFERROR(__xludf.DUMMYFUNCTION("IFERROR(
  INDEX(
    FILTER(X17:BK17, ISNUMBER(X17:BK17)),
    COUNTA(FILTER(X17:BK17, ISNUMBER(X17:BK17)))
  ),
  BK17
)"),1.0)</f>
        <v>1</v>
      </c>
    </row>
    <row r="18">
      <c r="A18" s="27">
        <v>5.0</v>
      </c>
      <c r="B18" s="46" t="s">
        <v>130</v>
      </c>
      <c r="C18" s="46"/>
      <c r="D18" s="46" t="s">
        <v>130</v>
      </c>
      <c r="E18" s="46"/>
      <c r="F18" s="29" t="str">
        <f>IFERROR(VLOOKUP(M18:M91,'R22 RELATÓRIO ACC'!B:F,5,FALSE),"NOT PUBLISHED")</f>
        <v>V11</v>
      </c>
      <c r="G18" s="29" t="str">
        <f>IFERROR(VLOOKUP(M18:M89,'R22 RELATÓRIO ACC'!B:P,15,FALSE),"NOT PUBLISHED")</f>
        <v>28/04/2026</v>
      </c>
      <c r="H18" s="29" t="str">
        <f>IFERROR(VLOOKUP(N18:N91,'RELATÓRIO ACC'!B:F,5,FALSE),"NOT PUBLISHED")</f>
        <v>V1</v>
      </c>
      <c r="I18" s="29" t="str">
        <f>IFERROR(VLOOKUP(N18:N89,'RELATÓRIO ACC'!B:P,15,FALSE),"NOT PUBLISHED")</f>
        <v>15/05/2026</v>
      </c>
      <c r="J18" s="29">
        <v>45938.0</v>
      </c>
      <c r="K18" s="30" t="s">
        <v>71</v>
      </c>
      <c r="L18" s="30" t="s">
        <v>123</v>
      </c>
      <c r="M18" s="31" t="s">
        <v>146</v>
      </c>
      <c r="N18" s="31" t="s">
        <v>147</v>
      </c>
      <c r="O18" s="30" t="s">
        <v>148</v>
      </c>
      <c r="P18" s="30" t="b">
        <v>0</v>
      </c>
      <c r="Q18" s="30" t="s">
        <v>76</v>
      </c>
      <c r="R18" s="30" t="s">
        <v>127</v>
      </c>
      <c r="S18" s="30" t="s">
        <v>128</v>
      </c>
      <c r="T18" s="30" t="s">
        <v>128</v>
      </c>
      <c r="U18" s="30" t="s">
        <v>145</v>
      </c>
      <c r="V18" s="29">
        <v>45944.0</v>
      </c>
      <c r="W18" s="29">
        <v>45944.0</v>
      </c>
      <c r="X18" s="30" t="s">
        <v>78</v>
      </c>
      <c r="Y18" s="30" t="s">
        <v>78</v>
      </c>
      <c r="Z18" s="30" t="s">
        <v>78</v>
      </c>
      <c r="AA18" s="30" t="s">
        <v>78</v>
      </c>
      <c r="AB18" s="30" t="s">
        <v>78</v>
      </c>
      <c r="AC18" s="32">
        <v>0.41</v>
      </c>
      <c r="AD18" s="33" t="s">
        <v>79</v>
      </c>
      <c r="AE18" s="32">
        <v>0.88</v>
      </c>
      <c r="AF18" s="33" t="s">
        <v>79</v>
      </c>
      <c r="AG18" s="33" t="s">
        <v>79</v>
      </c>
      <c r="AH18" s="32">
        <v>1.0</v>
      </c>
      <c r="AI18" s="32">
        <v>1.0</v>
      </c>
      <c r="AJ18" s="32">
        <v>1.0</v>
      </c>
      <c r="AK18" s="32">
        <v>1.0</v>
      </c>
      <c r="AL18" s="32">
        <v>1.0</v>
      </c>
      <c r="AM18" s="32">
        <v>1.0</v>
      </c>
      <c r="AN18" s="32">
        <v>1.0</v>
      </c>
      <c r="AO18" s="32">
        <v>1.0</v>
      </c>
      <c r="AP18" s="32">
        <v>1.0</v>
      </c>
      <c r="AQ18" s="32">
        <v>1.0</v>
      </c>
      <c r="AR18" s="32">
        <v>1.0</v>
      </c>
      <c r="AS18" s="32">
        <v>1.0</v>
      </c>
      <c r="AT18" s="32">
        <v>1.0</v>
      </c>
      <c r="AU18" s="32">
        <v>1.0</v>
      </c>
      <c r="AV18" s="32">
        <v>1.0</v>
      </c>
      <c r="AW18" s="32">
        <v>1.0</v>
      </c>
      <c r="AX18" s="32">
        <v>1.0</v>
      </c>
      <c r="AY18" s="32">
        <v>1.0</v>
      </c>
      <c r="AZ18" s="32">
        <v>1.0</v>
      </c>
      <c r="BA18" s="39" t="s">
        <v>99</v>
      </c>
      <c r="BB18" s="39" t="s">
        <v>99</v>
      </c>
      <c r="BC18" s="39" t="s">
        <v>99</v>
      </c>
      <c r="BD18" s="39" t="s">
        <v>99</v>
      </c>
      <c r="BE18" s="39" t="s">
        <v>99</v>
      </c>
      <c r="BF18" s="39" t="s">
        <v>99</v>
      </c>
      <c r="BG18" s="39" t="s">
        <v>99</v>
      </c>
      <c r="BH18" s="39" t="s">
        <v>99</v>
      </c>
      <c r="BI18" s="39" t="s">
        <v>99</v>
      </c>
      <c r="BJ18" s="39" t="s">
        <v>99</v>
      </c>
      <c r="BK18" s="39" t="s">
        <v>99</v>
      </c>
      <c r="BL18" s="39" t="s">
        <v>99</v>
      </c>
      <c r="BM18" s="39" t="s">
        <v>99</v>
      </c>
      <c r="BN18" s="47" t="s">
        <v>100</v>
      </c>
      <c r="BO18" s="39" t="s">
        <v>99</v>
      </c>
      <c r="BP18" s="35">
        <f>IFERROR(__xludf.DUMMYFUNCTION("IFERROR(
  INDEX(
    FILTER(X18:BK18, ISNUMBER(X18:BK18)),
    COUNTA(FILTER(X18:BK18, ISNUMBER(X18:BK18)))
  ),
  BK18
)"),1.0)</f>
        <v>1</v>
      </c>
    </row>
    <row r="19">
      <c r="A19" s="27">
        <v>6.0</v>
      </c>
      <c r="B19" s="49" t="s">
        <v>149</v>
      </c>
      <c r="C19" s="49">
        <v>1109.0</v>
      </c>
      <c r="D19" s="49" t="s">
        <v>149</v>
      </c>
      <c r="E19" s="49">
        <v>1109.0</v>
      </c>
      <c r="F19" s="29" t="str">
        <f>IFERROR(VLOOKUP(M19:M92,'R22 RELATÓRIO ACC'!B:F,5,FALSE),"NOT PUBLISHED")</f>
        <v>V9</v>
      </c>
      <c r="G19" s="29" t="str">
        <f>IFERROR(VLOOKUP(M19:M90,'R22 RELATÓRIO ACC'!B:P,15,FALSE),"NOT PUBLISHED")</f>
        <v>04/12/2025</v>
      </c>
      <c r="H19" s="29" t="str">
        <f>IFERROR(VLOOKUP(N19:N92,'RELATÓRIO ACC'!B:F,5,FALSE),"NOT PUBLISHED")</f>
        <v>V1</v>
      </c>
      <c r="I19" s="29" t="str">
        <f>IFERROR(VLOOKUP(N19:N90,'RELATÓRIO ACC'!B:P,15,FALSE),"NOT PUBLISHED")</f>
        <v>20/05/2026</v>
      </c>
      <c r="J19" s="29">
        <v>45841.0</v>
      </c>
      <c r="K19" s="30" t="s">
        <v>131</v>
      </c>
      <c r="L19" s="30" t="s">
        <v>123</v>
      </c>
      <c r="M19" s="31" t="s">
        <v>150</v>
      </c>
      <c r="N19" s="31" t="s">
        <v>151</v>
      </c>
      <c r="O19" s="30" t="s">
        <v>152</v>
      </c>
      <c r="P19" s="30" t="b">
        <v>0</v>
      </c>
      <c r="Q19" s="30" t="s">
        <v>153</v>
      </c>
      <c r="R19" s="30" t="s">
        <v>154</v>
      </c>
      <c r="S19" s="30"/>
      <c r="T19" s="30"/>
      <c r="U19" s="30"/>
      <c r="V19" s="29"/>
      <c r="W19" s="29">
        <v>45849.0</v>
      </c>
      <c r="X19" s="30" t="s">
        <v>78</v>
      </c>
      <c r="Y19" s="30" t="s">
        <v>78</v>
      </c>
      <c r="Z19" s="32">
        <v>0.69</v>
      </c>
      <c r="AA19" s="33" t="s">
        <v>79</v>
      </c>
      <c r="AB19" s="32">
        <v>0.71</v>
      </c>
      <c r="AC19" s="32">
        <v>1.0</v>
      </c>
      <c r="AD19" s="32">
        <v>1.0</v>
      </c>
      <c r="AE19" s="32">
        <v>1.0</v>
      </c>
      <c r="AF19" s="32">
        <v>1.0</v>
      </c>
      <c r="AG19" s="32">
        <v>1.0</v>
      </c>
      <c r="AH19" s="32">
        <v>1.0</v>
      </c>
      <c r="AI19" s="32">
        <v>1.0</v>
      </c>
      <c r="AJ19" s="32">
        <v>1.0</v>
      </c>
      <c r="AK19" s="32">
        <v>1.0</v>
      </c>
      <c r="AL19" s="32">
        <v>1.0</v>
      </c>
      <c r="AM19" s="32">
        <v>1.0</v>
      </c>
      <c r="AN19" s="32">
        <v>1.0</v>
      </c>
      <c r="AO19" s="32">
        <v>1.0</v>
      </c>
      <c r="AP19" s="32">
        <v>1.0</v>
      </c>
      <c r="AQ19" s="32">
        <v>1.0</v>
      </c>
      <c r="AR19" s="32">
        <v>1.0</v>
      </c>
      <c r="AS19" s="32">
        <v>1.0</v>
      </c>
      <c r="AT19" s="32">
        <v>1.0</v>
      </c>
      <c r="AU19" s="32">
        <v>1.0</v>
      </c>
      <c r="AV19" s="32">
        <v>1.0</v>
      </c>
      <c r="AW19" s="32">
        <v>1.0</v>
      </c>
      <c r="AX19" s="32">
        <v>1.0</v>
      </c>
      <c r="AY19" s="32">
        <v>1.0</v>
      </c>
      <c r="AZ19" s="32">
        <v>1.0</v>
      </c>
      <c r="BA19" s="39" t="s">
        <v>99</v>
      </c>
      <c r="BB19" s="39" t="s">
        <v>99</v>
      </c>
      <c r="BC19" s="39" t="s">
        <v>99</v>
      </c>
      <c r="BD19" s="39" t="s">
        <v>99</v>
      </c>
      <c r="BE19" s="39" t="s">
        <v>99</v>
      </c>
      <c r="BF19" s="39" t="s">
        <v>99</v>
      </c>
      <c r="BG19" s="39" t="s">
        <v>99</v>
      </c>
      <c r="BH19" s="39" t="s">
        <v>99</v>
      </c>
      <c r="BI19" s="39" t="s">
        <v>99</v>
      </c>
      <c r="BJ19" s="39" t="s">
        <v>99</v>
      </c>
      <c r="BK19" s="39" t="s">
        <v>99</v>
      </c>
      <c r="BL19" s="39" t="s">
        <v>99</v>
      </c>
      <c r="BM19" s="39" t="s">
        <v>99</v>
      </c>
      <c r="BN19" s="47" t="s">
        <v>100</v>
      </c>
      <c r="BO19" s="39" t="s">
        <v>99</v>
      </c>
      <c r="BP19" s="35">
        <f>IFERROR(__xludf.DUMMYFUNCTION("IFERROR(
  INDEX(
    FILTER(X19:BK19, ISNUMBER(X19:BK19)),
    COUNTA(FILTER(X19:BK19, ISNUMBER(X19:BK19)))
  ),
  BK19
)"),1.0)</f>
        <v>1</v>
      </c>
    </row>
    <row r="20">
      <c r="A20" s="27">
        <v>7.0</v>
      </c>
      <c r="B20" s="46" t="s">
        <v>130</v>
      </c>
      <c r="C20" s="46"/>
      <c r="D20" s="46" t="s">
        <v>130</v>
      </c>
      <c r="E20" s="46"/>
      <c r="F20" s="29" t="str">
        <f>IFERROR(VLOOKUP(M20:M93,'R22 RELATÓRIO ACC'!B:F,5,FALSE),"NOT PUBLISHED")</f>
        <v>V13</v>
      </c>
      <c r="G20" s="29" t="str">
        <f>IFERROR(VLOOKUP(M20:M91,'R22 RELATÓRIO ACC'!B:P,15,FALSE),"NOT PUBLISHED")</f>
        <v>12/05/2026</v>
      </c>
      <c r="H20" s="29" t="str">
        <f>IFERROR(VLOOKUP(N20:N93,'RELATÓRIO ACC'!B:F,5,FALSE),"NOT PUBLISHED")</f>
        <v>V1</v>
      </c>
      <c r="I20" s="29" t="str">
        <f>IFERROR(VLOOKUP(N20:N91,'RELATÓRIO ACC'!B:P,15,FALSE),"NOT PUBLISHED")</f>
        <v>15/05/2026</v>
      </c>
      <c r="J20" s="29">
        <v>45940.0</v>
      </c>
      <c r="K20" s="30" t="s">
        <v>71</v>
      </c>
      <c r="L20" s="30" t="s">
        <v>123</v>
      </c>
      <c r="M20" s="31" t="s">
        <v>155</v>
      </c>
      <c r="N20" s="31" t="s">
        <v>156</v>
      </c>
      <c r="O20" s="30" t="s">
        <v>157</v>
      </c>
      <c r="P20" s="30" t="b">
        <v>0</v>
      </c>
      <c r="Q20" s="30" t="s">
        <v>76</v>
      </c>
      <c r="R20" s="30" t="s">
        <v>127</v>
      </c>
      <c r="S20" s="30" t="s">
        <v>158</v>
      </c>
      <c r="T20" s="30" t="s">
        <v>158</v>
      </c>
      <c r="U20" s="30" t="s">
        <v>129</v>
      </c>
      <c r="V20" s="29">
        <v>45945.0</v>
      </c>
      <c r="W20" s="29">
        <v>45945.0</v>
      </c>
      <c r="X20" s="30" t="s">
        <v>78</v>
      </c>
      <c r="Y20" s="30" t="s">
        <v>78</v>
      </c>
      <c r="Z20" s="30" t="s">
        <v>78</v>
      </c>
      <c r="AA20" s="30" t="s">
        <v>78</v>
      </c>
      <c r="AB20" s="30" t="s">
        <v>78</v>
      </c>
      <c r="AC20" s="30" t="s">
        <v>78</v>
      </c>
      <c r="AD20" s="32">
        <v>0.82</v>
      </c>
      <c r="AE20" s="32">
        <v>0.82</v>
      </c>
      <c r="AF20" s="33" t="s">
        <v>79</v>
      </c>
      <c r="AG20" s="33" t="s">
        <v>79</v>
      </c>
      <c r="AH20" s="32">
        <v>1.0</v>
      </c>
      <c r="AI20" s="32">
        <v>1.0</v>
      </c>
      <c r="AJ20" s="32">
        <v>1.0</v>
      </c>
      <c r="AK20" s="32">
        <v>1.0</v>
      </c>
      <c r="AL20" s="32">
        <v>1.0</v>
      </c>
      <c r="AM20" s="32">
        <v>1.0</v>
      </c>
      <c r="AN20" s="32">
        <v>1.0</v>
      </c>
      <c r="AO20" s="32">
        <v>1.0</v>
      </c>
      <c r="AP20" s="32">
        <v>1.0</v>
      </c>
      <c r="AQ20" s="32">
        <v>1.0</v>
      </c>
      <c r="AR20" s="32">
        <v>1.0</v>
      </c>
      <c r="AS20" s="32">
        <v>1.0</v>
      </c>
      <c r="AT20" s="32">
        <v>1.0</v>
      </c>
      <c r="AU20" s="32">
        <v>1.0</v>
      </c>
      <c r="AV20" s="32">
        <v>1.0</v>
      </c>
      <c r="AW20" s="32">
        <v>1.0</v>
      </c>
      <c r="AX20" s="32">
        <v>1.0</v>
      </c>
      <c r="AY20" s="32">
        <v>1.0</v>
      </c>
      <c r="AZ20" s="32">
        <v>1.0</v>
      </c>
      <c r="BA20" s="39" t="s">
        <v>99</v>
      </c>
      <c r="BB20" s="39" t="s">
        <v>99</v>
      </c>
      <c r="BC20" s="39" t="s">
        <v>99</v>
      </c>
      <c r="BD20" s="39" t="s">
        <v>99</v>
      </c>
      <c r="BE20" s="39" t="s">
        <v>99</v>
      </c>
      <c r="BF20" s="39" t="s">
        <v>99</v>
      </c>
      <c r="BG20" s="39" t="s">
        <v>99</v>
      </c>
      <c r="BH20" s="39" t="s">
        <v>99</v>
      </c>
      <c r="BI20" s="39" t="s">
        <v>99</v>
      </c>
      <c r="BJ20" s="39" t="s">
        <v>99</v>
      </c>
      <c r="BK20" s="39" t="s">
        <v>99</v>
      </c>
      <c r="BL20" s="39" t="s">
        <v>99</v>
      </c>
      <c r="BM20" s="39" t="s">
        <v>99</v>
      </c>
      <c r="BN20" s="47" t="s">
        <v>100</v>
      </c>
      <c r="BO20" s="39" t="s">
        <v>99</v>
      </c>
      <c r="BP20" s="35">
        <f>IFERROR(__xludf.DUMMYFUNCTION("IFERROR(
  INDEX(
    FILTER(X20:BK20, ISNUMBER(X20:BK20)),
    COUNTA(FILTER(X20:BK20, ISNUMBER(X20:BK20)))
  ),
  BK20
)"),1.0)</f>
        <v>1</v>
      </c>
    </row>
    <row r="21">
      <c r="A21" s="27">
        <v>8.0</v>
      </c>
      <c r="B21" s="51" t="s">
        <v>159</v>
      </c>
      <c r="C21" s="51"/>
      <c r="D21" s="51" t="s">
        <v>160</v>
      </c>
      <c r="E21" s="51"/>
      <c r="F21" s="29" t="str">
        <f>IFERROR(VLOOKUP(M21:M94,'R22 RELATÓRIO ACC'!B:F,5,FALSE),"NOT PUBLISHED")</f>
        <v>V18</v>
      </c>
      <c r="G21" s="29" t="str">
        <f>IFERROR(VLOOKUP(M21:M92,'R22 RELATÓRIO ACC'!B:P,15,FALSE),"NOT PUBLISHED")</f>
        <v>30/04/2026</v>
      </c>
      <c r="H21" s="29" t="str">
        <f>IFERROR(VLOOKUP(N21:N94,'RELATÓRIO ACC'!B:F,5,FALSE),"NOT PUBLISHED")</f>
        <v>V2</v>
      </c>
      <c r="I21" s="29" t="str">
        <f>IFERROR(VLOOKUP(N21:N92,'RELATÓRIO ACC'!B:P,15,FALSE),"NOT PUBLISHED")</f>
        <v>20/05/2026</v>
      </c>
      <c r="J21" s="29">
        <v>45939.0</v>
      </c>
      <c r="K21" s="30" t="s">
        <v>94</v>
      </c>
      <c r="L21" s="30" t="s">
        <v>123</v>
      </c>
      <c r="M21" s="30" t="s">
        <v>161</v>
      </c>
      <c r="N21" s="30" t="s">
        <v>162</v>
      </c>
      <c r="O21" s="30" t="s">
        <v>163</v>
      </c>
      <c r="P21" s="30" t="b">
        <v>0</v>
      </c>
      <c r="Q21" s="30" t="s">
        <v>76</v>
      </c>
      <c r="R21" s="30" t="s">
        <v>98</v>
      </c>
      <c r="S21" s="30" t="s">
        <v>128</v>
      </c>
      <c r="T21" s="30" t="s">
        <v>128</v>
      </c>
      <c r="U21" s="30" t="s">
        <v>145</v>
      </c>
      <c r="V21" s="29">
        <v>45944.0</v>
      </c>
      <c r="W21" s="29">
        <v>45944.0</v>
      </c>
      <c r="X21" s="30" t="s">
        <v>78</v>
      </c>
      <c r="Y21" s="30" t="s">
        <v>78</v>
      </c>
      <c r="Z21" s="30" t="s">
        <v>78</v>
      </c>
      <c r="AA21" s="30" t="s">
        <v>78</v>
      </c>
      <c r="AB21" s="30" t="s">
        <v>78</v>
      </c>
      <c r="AC21" s="30" t="s">
        <v>78</v>
      </c>
      <c r="AD21" s="30" t="s">
        <v>78</v>
      </c>
      <c r="AE21" s="30" t="s">
        <v>78</v>
      </c>
      <c r="AF21" s="32">
        <v>0.71</v>
      </c>
      <c r="AG21" s="33" t="s">
        <v>79</v>
      </c>
      <c r="AH21" s="32">
        <v>1.0</v>
      </c>
      <c r="AI21" s="32">
        <v>1.0</v>
      </c>
      <c r="AJ21" s="32">
        <v>1.0</v>
      </c>
      <c r="AK21" s="32">
        <v>1.0</v>
      </c>
      <c r="AL21" s="32">
        <v>1.0</v>
      </c>
      <c r="AM21" s="32">
        <v>1.0</v>
      </c>
      <c r="AN21" s="32">
        <v>1.0</v>
      </c>
      <c r="AO21" s="32">
        <v>1.0</v>
      </c>
      <c r="AP21" s="32">
        <v>1.0</v>
      </c>
      <c r="AQ21" s="32">
        <v>1.0</v>
      </c>
      <c r="AR21" s="32">
        <v>1.0</v>
      </c>
      <c r="AS21" s="32">
        <v>1.0</v>
      </c>
      <c r="AT21" s="32">
        <v>1.0</v>
      </c>
      <c r="AU21" s="32">
        <v>1.0</v>
      </c>
      <c r="AV21" s="32">
        <v>1.0</v>
      </c>
      <c r="AW21" s="32">
        <v>1.0</v>
      </c>
      <c r="AX21" s="32">
        <v>1.0</v>
      </c>
      <c r="AY21" s="32">
        <v>1.0</v>
      </c>
      <c r="AZ21" s="32">
        <v>1.0</v>
      </c>
      <c r="BA21" s="39" t="s">
        <v>99</v>
      </c>
      <c r="BB21" s="39" t="s">
        <v>99</v>
      </c>
      <c r="BC21" s="39" t="s">
        <v>99</v>
      </c>
      <c r="BD21" s="39" t="s">
        <v>99</v>
      </c>
      <c r="BE21" s="39" t="s">
        <v>99</v>
      </c>
      <c r="BF21" s="39" t="s">
        <v>99</v>
      </c>
      <c r="BG21" s="39" t="s">
        <v>99</v>
      </c>
      <c r="BH21" s="39" t="s">
        <v>99</v>
      </c>
      <c r="BI21" s="39" t="s">
        <v>99</v>
      </c>
      <c r="BJ21" s="39" t="s">
        <v>99</v>
      </c>
      <c r="BK21" s="39" t="s">
        <v>99</v>
      </c>
      <c r="BL21" s="39" t="s">
        <v>99</v>
      </c>
      <c r="BM21" s="39" t="s">
        <v>99</v>
      </c>
      <c r="BN21" s="47" t="s">
        <v>100</v>
      </c>
      <c r="BO21" s="39" t="s">
        <v>99</v>
      </c>
      <c r="BP21" s="35">
        <f>IFERROR(__xludf.DUMMYFUNCTION("IFERROR(
  INDEX(
    FILTER(X21:BK21, ISNUMBER(X21:BK21)),
    COUNTA(FILTER(X21:BK21, ISNUMBER(X21:BK21)))
  ),
  BK21
)"),1.0)</f>
        <v>1</v>
      </c>
    </row>
    <row r="22">
      <c r="A22" s="27">
        <v>9.0</v>
      </c>
      <c r="B22" s="52" t="s">
        <v>164</v>
      </c>
      <c r="C22" s="52"/>
      <c r="D22" s="52" t="s">
        <v>165</v>
      </c>
      <c r="E22" s="52"/>
      <c r="F22" s="29" t="str">
        <f>IFERROR(VLOOKUP(M22:M95,'R22 RELATÓRIO ACC'!B:F,5,FALSE),"NOT PUBLISHED")</f>
        <v>V9</v>
      </c>
      <c r="G22" s="29" t="str">
        <f>IFERROR(VLOOKUP(M22:M93,'R22 RELATÓRIO ACC'!B:P,15,FALSE),"NOT PUBLISHED")</f>
        <v>27/03/2026</v>
      </c>
      <c r="H22" s="29" t="str">
        <f>IFERROR(VLOOKUP(N22:N95,'RELATÓRIO ACC'!B:F,5,FALSE),"NOT PUBLISHED")</f>
        <v>V2</v>
      </c>
      <c r="I22" s="29" t="str">
        <f>IFERROR(VLOOKUP(N22:N93,'RELATÓRIO ACC'!B:P,15,FALSE),"NOT PUBLISHED")</f>
        <v>26/06/2026</v>
      </c>
      <c r="J22" s="29">
        <v>45783.0</v>
      </c>
      <c r="K22" s="30" t="s">
        <v>86</v>
      </c>
      <c r="L22" s="30" t="s">
        <v>123</v>
      </c>
      <c r="M22" s="30" t="s">
        <v>166</v>
      </c>
      <c r="N22" s="30" t="s">
        <v>167</v>
      </c>
      <c r="O22" s="30" t="s">
        <v>168</v>
      </c>
      <c r="P22" s="30" t="b">
        <v>0</v>
      </c>
      <c r="Q22" s="30" t="s">
        <v>169</v>
      </c>
      <c r="R22" s="30" t="s">
        <v>77</v>
      </c>
      <c r="S22" s="30" t="s">
        <v>158</v>
      </c>
      <c r="T22" s="30"/>
      <c r="U22" s="30" t="s">
        <v>145</v>
      </c>
      <c r="V22" s="29">
        <v>45926.0</v>
      </c>
      <c r="W22" s="29">
        <v>45876.0</v>
      </c>
      <c r="X22" s="30" t="s">
        <v>78</v>
      </c>
      <c r="Y22" s="30" t="s">
        <v>78</v>
      </c>
      <c r="Z22" s="30" t="s">
        <v>78</v>
      </c>
      <c r="AA22" s="30" t="s">
        <v>78</v>
      </c>
      <c r="AB22" s="32">
        <v>1.0</v>
      </c>
      <c r="AC22" s="33" t="s">
        <v>79</v>
      </c>
      <c r="AD22" s="32">
        <v>1.0</v>
      </c>
      <c r="AE22" s="32">
        <v>1.0</v>
      </c>
      <c r="AF22" s="32">
        <v>1.0</v>
      </c>
      <c r="AG22" s="32">
        <v>1.0</v>
      </c>
      <c r="AH22" s="32">
        <v>1.0</v>
      </c>
      <c r="AI22" s="32">
        <v>1.0</v>
      </c>
      <c r="AJ22" s="32">
        <v>1.0</v>
      </c>
      <c r="AK22" s="32">
        <v>1.0</v>
      </c>
      <c r="AL22" s="32">
        <v>1.0</v>
      </c>
      <c r="AM22" s="32">
        <v>1.0</v>
      </c>
      <c r="AN22" s="32">
        <v>1.0</v>
      </c>
      <c r="AO22" s="32">
        <v>1.0</v>
      </c>
      <c r="AP22" s="32">
        <v>1.0</v>
      </c>
      <c r="AQ22" s="32">
        <v>1.0</v>
      </c>
      <c r="AR22" s="32">
        <v>1.0</v>
      </c>
      <c r="AS22" s="32">
        <v>1.0</v>
      </c>
      <c r="AT22" s="32">
        <v>1.0</v>
      </c>
      <c r="AU22" s="32">
        <v>1.0</v>
      </c>
      <c r="AV22" s="32">
        <v>1.0</v>
      </c>
      <c r="AW22" s="32">
        <v>1.0</v>
      </c>
      <c r="AX22" s="32">
        <v>1.0</v>
      </c>
      <c r="AY22" s="32">
        <v>1.0</v>
      </c>
      <c r="AZ22" s="32">
        <v>1.0</v>
      </c>
      <c r="BA22" s="39" t="s">
        <v>99</v>
      </c>
      <c r="BB22" s="39" t="s">
        <v>99</v>
      </c>
      <c r="BC22" s="39" t="s">
        <v>99</v>
      </c>
      <c r="BD22" s="39" t="s">
        <v>99</v>
      </c>
      <c r="BE22" s="39" t="s">
        <v>99</v>
      </c>
      <c r="BF22" s="39" t="s">
        <v>99</v>
      </c>
      <c r="BG22" s="39" t="s">
        <v>99</v>
      </c>
      <c r="BH22" s="39" t="s">
        <v>99</v>
      </c>
      <c r="BI22" s="39" t="s">
        <v>99</v>
      </c>
      <c r="BJ22" s="39" t="s">
        <v>99</v>
      </c>
      <c r="BK22" s="39" t="s">
        <v>99</v>
      </c>
      <c r="BL22" s="39" t="s">
        <v>99</v>
      </c>
      <c r="BM22" s="39" t="s">
        <v>99</v>
      </c>
      <c r="BN22" s="47" t="s">
        <v>100</v>
      </c>
      <c r="BO22" s="39" t="s">
        <v>99</v>
      </c>
      <c r="BP22" s="35">
        <f>IFERROR(__xludf.DUMMYFUNCTION("IFERROR(
  INDEX(
    FILTER(X22:BK22, ISNUMBER(X22:BK22)),
    COUNTA(FILTER(X22:BK22, ISNUMBER(X22:BK22)))
  ),
  BK22
)"),1.0)</f>
        <v>1</v>
      </c>
    </row>
    <row r="23">
      <c r="A23" s="27">
        <v>10.0</v>
      </c>
      <c r="B23" s="51" t="s">
        <v>159</v>
      </c>
      <c r="C23" s="51"/>
      <c r="D23" s="51" t="s">
        <v>160</v>
      </c>
      <c r="E23" s="51"/>
      <c r="F23" s="29" t="str">
        <f>IFERROR(VLOOKUP(M23:M96,'R22 RELATÓRIO ACC'!B:F,5,FALSE),"NOT PUBLISHED")</f>
        <v>V20</v>
      </c>
      <c r="G23" s="29" t="str">
        <f>IFERROR(VLOOKUP(M23:M94,'R22 RELATÓRIO ACC'!B:P,15,FALSE),"NOT PUBLISHED")</f>
        <v>06/05/2026</v>
      </c>
      <c r="H23" s="29" t="str">
        <f>IFERROR(VLOOKUP(N23:N96,'RELATÓRIO ACC'!B:F,5,FALSE),"NOT PUBLISHED")</f>
        <v>V4</v>
      </c>
      <c r="I23" s="29" t="str">
        <f>IFERROR(VLOOKUP(N23:N94,'RELATÓRIO ACC'!B:P,15,FALSE),"NOT PUBLISHED")</f>
        <v>11/06/2026</v>
      </c>
      <c r="J23" s="29">
        <v>45935.0</v>
      </c>
      <c r="K23" s="30" t="s">
        <v>94</v>
      </c>
      <c r="L23" s="30" t="s">
        <v>123</v>
      </c>
      <c r="M23" s="30" t="s">
        <v>170</v>
      </c>
      <c r="N23" s="30" t="s">
        <v>171</v>
      </c>
      <c r="O23" s="30" t="s">
        <v>172</v>
      </c>
      <c r="P23" s="30" t="b">
        <v>0</v>
      </c>
      <c r="Q23" s="30" t="s">
        <v>76</v>
      </c>
      <c r="R23" s="30" t="s">
        <v>98</v>
      </c>
      <c r="S23" s="30" t="s">
        <v>128</v>
      </c>
      <c r="T23" s="30" t="s">
        <v>128</v>
      </c>
      <c r="U23" s="30" t="s">
        <v>145</v>
      </c>
      <c r="V23" s="29">
        <v>45944.0</v>
      </c>
      <c r="W23" s="29">
        <v>45944.0</v>
      </c>
      <c r="X23" s="30" t="s">
        <v>78</v>
      </c>
      <c r="Y23" s="30" t="s">
        <v>78</v>
      </c>
      <c r="Z23" s="30" t="s">
        <v>78</v>
      </c>
      <c r="AA23" s="30" t="s">
        <v>78</v>
      </c>
      <c r="AB23" s="30" t="s">
        <v>78</v>
      </c>
      <c r="AC23" s="30" t="s">
        <v>78</v>
      </c>
      <c r="AD23" s="30" t="s">
        <v>78</v>
      </c>
      <c r="AE23" s="30" t="s">
        <v>78</v>
      </c>
      <c r="AF23" s="32">
        <v>0.53</v>
      </c>
      <c r="AG23" s="33" t="s">
        <v>79</v>
      </c>
      <c r="AH23" s="53">
        <v>1.0</v>
      </c>
      <c r="AI23" s="53">
        <v>1.0</v>
      </c>
      <c r="AJ23" s="53">
        <v>1.0</v>
      </c>
      <c r="AK23" s="53">
        <v>1.0</v>
      </c>
      <c r="AL23" s="53">
        <v>1.0</v>
      </c>
      <c r="AM23" s="32">
        <v>1.0</v>
      </c>
      <c r="AN23" s="32">
        <v>1.0</v>
      </c>
      <c r="AO23" s="32">
        <v>1.0</v>
      </c>
      <c r="AP23" s="32">
        <v>1.0</v>
      </c>
      <c r="AQ23" s="32">
        <v>1.0</v>
      </c>
      <c r="AR23" s="32">
        <v>1.0</v>
      </c>
      <c r="AS23" s="32">
        <v>1.0</v>
      </c>
      <c r="AT23" s="32">
        <v>1.0</v>
      </c>
      <c r="AU23" s="32">
        <v>1.0</v>
      </c>
      <c r="AV23" s="32">
        <v>1.0</v>
      </c>
      <c r="AW23" s="32">
        <v>1.0</v>
      </c>
      <c r="AX23" s="32">
        <v>1.0</v>
      </c>
      <c r="AY23" s="32">
        <v>1.0</v>
      </c>
      <c r="AZ23" s="32">
        <v>1.0</v>
      </c>
      <c r="BA23" s="39" t="s">
        <v>99</v>
      </c>
      <c r="BB23" s="39" t="s">
        <v>99</v>
      </c>
      <c r="BC23" s="39" t="s">
        <v>99</v>
      </c>
      <c r="BD23" s="39" t="s">
        <v>99</v>
      </c>
      <c r="BE23" s="39" t="s">
        <v>99</v>
      </c>
      <c r="BF23" s="39" t="s">
        <v>99</v>
      </c>
      <c r="BG23" s="39" t="s">
        <v>99</v>
      </c>
      <c r="BH23" s="39" t="s">
        <v>99</v>
      </c>
      <c r="BI23" s="39" t="s">
        <v>99</v>
      </c>
      <c r="BJ23" s="39" t="s">
        <v>99</v>
      </c>
      <c r="BK23" s="39" t="s">
        <v>99</v>
      </c>
      <c r="BL23" s="39" t="s">
        <v>99</v>
      </c>
      <c r="BM23" s="39" t="s">
        <v>99</v>
      </c>
      <c r="BN23" s="47" t="s">
        <v>100</v>
      </c>
      <c r="BO23" s="39" t="s">
        <v>99</v>
      </c>
      <c r="BP23" s="35">
        <f>IFERROR(__xludf.DUMMYFUNCTION("IFERROR(
  INDEX(
    FILTER(X23:BK23, ISNUMBER(X23:BK23)),
    COUNTA(FILTER(X23:BK23, ISNUMBER(X23:BK23)))
  ),
  BK23
)"),1.0)</f>
        <v>1</v>
      </c>
    </row>
    <row r="24">
      <c r="A24" s="27">
        <v>11.0</v>
      </c>
      <c r="B24" s="46" t="s">
        <v>130</v>
      </c>
      <c r="C24" s="46"/>
      <c r="D24" s="46" t="s">
        <v>130</v>
      </c>
      <c r="E24" s="46"/>
      <c r="F24" s="29" t="str">
        <f>IFERROR(VLOOKUP(M24:M97,'R22 RELATÓRIO ACC'!B:F,5,FALSE),"NOT PUBLISHED")</f>
        <v>V17</v>
      </c>
      <c r="G24" s="29" t="str">
        <f>IFERROR(VLOOKUP(M24:M95,'R22 RELATÓRIO ACC'!B:P,15,FALSE),"NOT PUBLISHED")</f>
        <v>12/05/2026</v>
      </c>
      <c r="H24" s="29" t="str">
        <f>IFERROR(VLOOKUP(N24:N97,'RELATÓRIO ACC'!B:F,5,FALSE),"NOT PUBLISHED")</f>
        <v>V1</v>
      </c>
      <c r="I24" s="29" t="str">
        <f>IFERROR(VLOOKUP(N24:N95,'RELATÓRIO ACC'!B:P,15,FALSE),"NOT PUBLISHED")</f>
        <v>15/05/2026</v>
      </c>
      <c r="J24" s="29">
        <v>45919.0</v>
      </c>
      <c r="K24" s="30" t="s">
        <v>131</v>
      </c>
      <c r="L24" s="30" t="s">
        <v>123</v>
      </c>
      <c r="M24" s="31" t="s">
        <v>173</v>
      </c>
      <c r="N24" s="31" t="s">
        <v>174</v>
      </c>
      <c r="O24" s="30" t="s">
        <v>175</v>
      </c>
      <c r="P24" s="30" t="b">
        <v>0</v>
      </c>
      <c r="Q24" s="30" t="s">
        <v>76</v>
      </c>
      <c r="R24" s="30" t="s">
        <v>98</v>
      </c>
      <c r="S24" s="30" t="s">
        <v>128</v>
      </c>
      <c r="T24" s="30" t="s">
        <v>128</v>
      </c>
      <c r="U24" s="30" t="s">
        <v>129</v>
      </c>
      <c r="V24" s="29">
        <v>45923.0</v>
      </c>
      <c r="W24" s="29">
        <v>45923.0</v>
      </c>
      <c r="X24" s="30" t="s">
        <v>78</v>
      </c>
      <c r="Y24" s="30" t="s">
        <v>78</v>
      </c>
      <c r="Z24" s="30" t="s">
        <v>78</v>
      </c>
      <c r="AA24" s="30" t="s">
        <v>78</v>
      </c>
      <c r="AB24" s="30" t="s">
        <v>78</v>
      </c>
      <c r="AC24" s="32">
        <v>0.29</v>
      </c>
      <c r="AD24" s="32">
        <v>0.71</v>
      </c>
      <c r="AE24" s="32">
        <v>0.82</v>
      </c>
      <c r="AF24" s="32">
        <v>1.0</v>
      </c>
      <c r="AG24" s="32">
        <v>1.0</v>
      </c>
      <c r="AH24" s="32">
        <v>1.0</v>
      </c>
      <c r="AI24" s="32">
        <v>1.0</v>
      </c>
      <c r="AJ24" s="32">
        <v>1.0</v>
      </c>
      <c r="AK24" s="32">
        <v>1.0</v>
      </c>
      <c r="AL24" s="32">
        <v>1.0</v>
      </c>
      <c r="AM24" s="32">
        <v>1.0</v>
      </c>
      <c r="AN24" s="32">
        <v>1.0</v>
      </c>
      <c r="AO24" s="32">
        <v>1.0</v>
      </c>
      <c r="AP24" s="32">
        <v>1.0</v>
      </c>
      <c r="AQ24" s="32">
        <v>1.0</v>
      </c>
      <c r="AR24" s="32">
        <v>1.0</v>
      </c>
      <c r="AS24" s="32">
        <v>1.0</v>
      </c>
      <c r="AT24" s="32">
        <v>1.0</v>
      </c>
      <c r="AU24" s="32">
        <v>1.0</v>
      </c>
      <c r="AV24" s="32">
        <v>1.0</v>
      </c>
      <c r="AW24" s="32">
        <v>1.0</v>
      </c>
      <c r="AX24" s="32">
        <v>1.0</v>
      </c>
      <c r="AY24" s="32">
        <v>1.0</v>
      </c>
      <c r="AZ24" s="32">
        <v>1.0</v>
      </c>
      <c r="BA24" s="39" t="s">
        <v>99</v>
      </c>
      <c r="BB24" s="39" t="s">
        <v>99</v>
      </c>
      <c r="BC24" s="39" t="s">
        <v>99</v>
      </c>
      <c r="BD24" s="39" t="s">
        <v>99</v>
      </c>
      <c r="BE24" s="39" t="s">
        <v>99</v>
      </c>
      <c r="BF24" s="39" t="s">
        <v>99</v>
      </c>
      <c r="BG24" s="39" t="s">
        <v>99</v>
      </c>
      <c r="BH24" s="39" t="s">
        <v>99</v>
      </c>
      <c r="BI24" s="39" t="s">
        <v>99</v>
      </c>
      <c r="BJ24" s="39" t="s">
        <v>99</v>
      </c>
      <c r="BK24" s="39" t="s">
        <v>99</v>
      </c>
      <c r="BL24" s="39" t="s">
        <v>99</v>
      </c>
      <c r="BM24" s="39" t="s">
        <v>99</v>
      </c>
      <c r="BN24" s="47" t="s">
        <v>100</v>
      </c>
      <c r="BO24" s="39" t="s">
        <v>99</v>
      </c>
      <c r="BP24" s="35">
        <f>IFERROR(__xludf.DUMMYFUNCTION("IFERROR(
  INDEX(
    FILTER(X24:BK24, ISNUMBER(X24:BK24)),
    COUNTA(FILTER(X24:BK24, ISNUMBER(X24:BK24)))
  ),
  BK24
)"),1.0)</f>
        <v>1</v>
      </c>
    </row>
    <row r="25">
      <c r="A25" s="27">
        <v>12.0</v>
      </c>
      <c r="B25" s="36" t="s">
        <v>83</v>
      </c>
      <c r="C25" s="36">
        <v>1101.0</v>
      </c>
      <c r="D25" s="36" t="s">
        <v>140</v>
      </c>
      <c r="E25" s="36">
        <v>1126.0</v>
      </c>
      <c r="F25" s="29" t="str">
        <f>IFERROR(VLOOKUP(M25:M98,'R22 RELATÓRIO ACC'!B:F,5,FALSE),"NOT PUBLISHED")</f>
        <v>V24</v>
      </c>
      <c r="G25" s="29" t="str">
        <f>IFERROR(VLOOKUP(M25:M96,'R22 RELATÓRIO ACC'!B:P,15,FALSE),"NOT PUBLISHED")</f>
        <v>07/04/2026</v>
      </c>
      <c r="H25" s="29" t="str">
        <f>IFERROR(VLOOKUP(N25:N98,'RELATÓRIO ACC'!B:F,5,FALSE),"NOT PUBLISHED")</f>
        <v>V2</v>
      </c>
      <c r="I25" s="29" t="str">
        <f>IFERROR(VLOOKUP(N25:N96,'RELATÓRIO ACC'!B:P,15,FALSE),"NOT PUBLISHED")</f>
        <v>27/05/2026</v>
      </c>
      <c r="J25" s="29">
        <v>45979.0</v>
      </c>
      <c r="K25" s="30" t="s">
        <v>176</v>
      </c>
      <c r="L25" s="30" t="s">
        <v>72</v>
      </c>
      <c r="M25" s="31" t="s">
        <v>177</v>
      </c>
      <c r="N25" s="31" t="s">
        <v>178</v>
      </c>
      <c r="O25" s="30" t="s">
        <v>179</v>
      </c>
      <c r="P25" s="30" t="b">
        <v>0</v>
      </c>
      <c r="Q25" s="30" t="s">
        <v>76</v>
      </c>
      <c r="R25" s="30" t="s">
        <v>127</v>
      </c>
      <c r="S25" s="30"/>
      <c r="T25" s="30"/>
      <c r="U25" s="30"/>
      <c r="V25" s="29"/>
      <c r="W25" s="29"/>
      <c r="X25" s="30" t="s">
        <v>78</v>
      </c>
      <c r="Y25" s="32">
        <v>0.44</v>
      </c>
      <c r="Z25" s="32">
        <v>0.47</v>
      </c>
      <c r="AA25" s="32">
        <v>0.63</v>
      </c>
      <c r="AB25" s="33" t="s">
        <v>79</v>
      </c>
      <c r="AC25" s="32">
        <v>0.71</v>
      </c>
      <c r="AD25" s="32">
        <v>0.82</v>
      </c>
      <c r="AE25" s="32">
        <v>0.88</v>
      </c>
      <c r="AF25" s="33" t="s">
        <v>79</v>
      </c>
      <c r="AG25" s="32">
        <v>0.94</v>
      </c>
      <c r="AH25" s="34" t="s">
        <v>79</v>
      </c>
      <c r="AI25" s="32">
        <v>0.94</v>
      </c>
      <c r="AJ25" s="34" t="s">
        <v>79</v>
      </c>
      <c r="AK25" s="32">
        <v>0.94</v>
      </c>
      <c r="AL25" s="32">
        <v>0.94</v>
      </c>
      <c r="AM25" s="35">
        <v>1.0</v>
      </c>
      <c r="AN25" s="35">
        <v>1.0</v>
      </c>
      <c r="AO25" s="35">
        <v>1.0</v>
      </c>
      <c r="AP25" s="35">
        <v>1.0</v>
      </c>
      <c r="AQ25" s="35">
        <v>1.0</v>
      </c>
      <c r="AR25" s="35">
        <v>1.0</v>
      </c>
      <c r="AS25" s="35">
        <v>1.0</v>
      </c>
      <c r="AT25" s="35">
        <v>1.0</v>
      </c>
      <c r="AU25" s="35">
        <v>1.0</v>
      </c>
      <c r="AV25" s="35">
        <v>1.0</v>
      </c>
      <c r="AW25" s="35">
        <v>1.0</v>
      </c>
      <c r="AX25" s="35">
        <v>1.0</v>
      </c>
      <c r="AY25" s="35">
        <v>1.0</v>
      </c>
      <c r="AZ25" s="35">
        <v>1.0</v>
      </c>
      <c r="BA25" s="39" t="s">
        <v>99</v>
      </c>
      <c r="BB25" s="39" t="s">
        <v>99</v>
      </c>
      <c r="BC25" s="39" t="s">
        <v>99</v>
      </c>
      <c r="BD25" s="39" t="s">
        <v>99</v>
      </c>
      <c r="BE25" s="39" t="s">
        <v>99</v>
      </c>
      <c r="BF25" s="39" t="s">
        <v>99</v>
      </c>
      <c r="BG25" s="39" t="s">
        <v>99</v>
      </c>
      <c r="BH25" s="39" t="s">
        <v>99</v>
      </c>
      <c r="BI25" s="39" t="s">
        <v>99</v>
      </c>
      <c r="BJ25" s="39" t="s">
        <v>99</v>
      </c>
      <c r="BK25" s="39" t="s">
        <v>99</v>
      </c>
      <c r="BL25" s="39" t="s">
        <v>99</v>
      </c>
      <c r="BM25" s="39" t="s">
        <v>99</v>
      </c>
      <c r="BN25" s="30" t="s">
        <v>100</v>
      </c>
      <c r="BO25" s="39" t="s">
        <v>99</v>
      </c>
      <c r="BP25" s="35">
        <f>IFERROR(__xludf.DUMMYFUNCTION("IFERROR(
  INDEX(
    FILTER(X25:BK25, ISNUMBER(X25:BK25)),
    COUNTA(FILTER(X25:BK25, ISNUMBER(X25:BK25)))
  ),
  BK25
)"),1.0)</f>
        <v>1</v>
      </c>
    </row>
    <row r="26">
      <c r="A26" s="27">
        <v>13.0</v>
      </c>
      <c r="B26" s="37" t="s">
        <v>121</v>
      </c>
      <c r="C26" s="37">
        <v>1130.0</v>
      </c>
      <c r="D26" s="37" t="s">
        <v>121</v>
      </c>
      <c r="E26" s="37">
        <v>1130.0</v>
      </c>
      <c r="F26" s="29" t="str">
        <f>IFERROR(VLOOKUP(M26:M99,'R22 RELATÓRIO ACC'!B:F,5,FALSE),"NOT PUBLISHED")</f>
        <v>V29</v>
      </c>
      <c r="G26" s="29" t="str">
        <f>IFERROR(VLOOKUP(M26:M97,'R22 RELATÓRIO ACC'!B:P,15,FALSE),"NOT PUBLISHED")</f>
        <v>13/04/2026</v>
      </c>
      <c r="H26" s="29" t="str">
        <f>IFERROR(VLOOKUP(N26:N99,'RELATÓRIO ACC'!B:F,5,FALSE),"NOT PUBLISHED")</f>
        <v>V3</v>
      </c>
      <c r="I26" s="29" t="str">
        <f>IFERROR(VLOOKUP(N26:N97,'RELATÓRIO ACC'!B:P,15,FALSE),"NOT PUBLISHED")</f>
        <v>03/06/2026</v>
      </c>
      <c r="J26" s="29">
        <v>45898.0</v>
      </c>
      <c r="K26" s="30" t="s">
        <v>180</v>
      </c>
      <c r="L26" s="30" t="s">
        <v>123</v>
      </c>
      <c r="M26" s="31" t="s">
        <v>181</v>
      </c>
      <c r="N26" s="31" t="s">
        <v>182</v>
      </c>
      <c r="O26" s="30" t="s">
        <v>183</v>
      </c>
      <c r="P26" s="30" t="b">
        <v>0</v>
      </c>
      <c r="Q26" s="30" t="s">
        <v>153</v>
      </c>
      <c r="R26" s="30" t="s">
        <v>127</v>
      </c>
      <c r="S26" s="30" t="s">
        <v>128</v>
      </c>
      <c r="T26" s="30" t="s">
        <v>128</v>
      </c>
      <c r="U26" s="30" t="s">
        <v>145</v>
      </c>
      <c r="V26" s="29">
        <v>45901.0</v>
      </c>
      <c r="W26" s="29">
        <v>45901.0</v>
      </c>
      <c r="X26" s="30" t="s">
        <v>78</v>
      </c>
      <c r="Y26" s="30" t="s">
        <v>78</v>
      </c>
      <c r="Z26" s="32">
        <v>0.53</v>
      </c>
      <c r="AA26" s="32">
        <v>0.59</v>
      </c>
      <c r="AB26" s="32">
        <v>0.88</v>
      </c>
      <c r="AC26" s="32">
        <v>0.82</v>
      </c>
      <c r="AD26" s="32">
        <v>0.88</v>
      </c>
      <c r="AE26" s="32">
        <v>1.0</v>
      </c>
      <c r="AF26" s="32">
        <v>1.0</v>
      </c>
      <c r="AG26" s="32">
        <v>1.0</v>
      </c>
      <c r="AH26" s="32">
        <v>1.0</v>
      </c>
      <c r="AI26" s="32">
        <v>1.0</v>
      </c>
      <c r="AJ26" s="32">
        <v>1.0</v>
      </c>
      <c r="AK26" s="32">
        <v>1.0</v>
      </c>
      <c r="AL26" s="32">
        <v>1.0</v>
      </c>
      <c r="AM26" s="32">
        <v>1.0</v>
      </c>
      <c r="AN26" s="32">
        <v>1.0</v>
      </c>
      <c r="AO26" s="32">
        <v>1.0</v>
      </c>
      <c r="AP26" s="32">
        <v>1.0</v>
      </c>
      <c r="AQ26" s="32">
        <v>1.0</v>
      </c>
      <c r="AR26" s="32">
        <v>1.0</v>
      </c>
      <c r="AS26" s="32">
        <v>1.0</v>
      </c>
      <c r="AT26" s="32">
        <v>1.0</v>
      </c>
      <c r="AU26" s="32">
        <v>1.0</v>
      </c>
      <c r="AV26" s="32">
        <v>1.0</v>
      </c>
      <c r="AW26" s="32">
        <v>1.0</v>
      </c>
      <c r="AX26" s="32">
        <v>1.0</v>
      </c>
      <c r="AY26" s="32">
        <v>1.0</v>
      </c>
      <c r="AZ26" s="32">
        <v>1.0</v>
      </c>
      <c r="BA26" s="39" t="s">
        <v>99</v>
      </c>
      <c r="BB26" s="39" t="s">
        <v>99</v>
      </c>
      <c r="BC26" s="39" t="s">
        <v>99</v>
      </c>
      <c r="BD26" s="39" t="s">
        <v>99</v>
      </c>
      <c r="BE26" s="39" t="s">
        <v>99</v>
      </c>
      <c r="BF26" s="39" t="s">
        <v>99</v>
      </c>
      <c r="BG26" s="39" t="s">
        <v>99</v>
      </c>
      <c r="BH26" s="39" t="s">
        <v>99</v>
      </c>
      <c r="BI26" s="39" t="s">
        <v>99</v>
      </c>
      <c r="BJ26" s="39" t="s">
        <v>99</v>
      </c>
      <c r="BK26" s="39" t="s">
        <v>99</v>
      </c>
      <c r="BL26" s="39" t="s">
        <v>99</v>
      </c>
      <c r="BM26" s="39" t="s">
        <v>99</v>
      </c>
      <c r="BN26" s="47" t="s">
        <v>100</v>
      </c>
      <c r="BO26" s="39" t="s">
        <v>99</v>
      </c>
      <c r="BP26" s="35">
        <f>IFERROR(__xludf.DUMMYFUNCTION("IFERROR(
  INDEX(
    FILTER(X26:BK26, ISNUMBER(X26:BK26)),
    COUNTA(FILTER(X26:BK26, ISNUMBER(X26:BK26)))
  ),
  BK26
)"),1.0)</f>
        <v>1</v>
      </c>
      <c r="BQ26" s="45"/>
      <c r="BR26" s="45"/>
      <c r="BS26" s="45"/>
      <c r="BT26" s="45"/>
      <c r="BU26" s="45"/>
      <c r="BV26" s="45"/>
    </row>
    <row r="27">
      <c r="A27" s="27">
        <v>14.0</v>
      </c>
      <c r="B27" s="51" t="s">
        <v>159</v>
      </c>
      <c r="C27" s="51"/>
      <c r="D27" s="51" t="s">
        <v>160</v>
      </c>
      <c r="E27" s="51"/>
      <c r="F27" s="29" t="str">
        <f>IFERROR(VLOOKUP(M27:M100,'R22 RELATÓRIO ACC'!B:F,5,FALSE),"NOT PUBLISHED")</f>
        <v>V18</v>
      </c>
      <c r="G27" s="29" t="str">
        <f>IFERROR(VLOOKUP(M27:M98,'R22 RELATÓRIO ACC'!B:P,15,FALSE),"NOT PUBLISHED")</f>
        <v>08/04/2026</v>
      </c>
      <c r="H27" s="29" t="str">
        <f>IFERROR(VLOOKUP(N27:N100,'RELATÓRIO ACC'!B:F,5,FALSE),"NOT PUBLISHED")</f>
        <v>V6</v>
      </c>
      <c r="I27" s="29" t="str">
        <f>IFERROR(VLOOKUP(N27:N98,'RELATÓRIO ACC'!B:P,15,FALSE),"NOT PUBLISHED")</f>
        <v>24/06/2026</v>
      </c>
      <c r="J27" s="29">
        <v>45895.0</v>
      </c>
      <c r="K27" s="30" t="s">
        <v>103</v>
      </c>
      <c r="L27" s="30" t="s">
        <v>123</v>
      </c>
      <c r="M27" s="30" t="s">
        <v>184</v>
      </c>
      <c r="N27" s="30" t="s">
        <v>185</v>
      </c>
      <c r="O27" s="30" t="s">
        <v>186</v>
      </c>
      <c r="P27" s="30" t="b">
        <v>0</v>
      </c>
      <c r="Q27" s="30" t="s">
        <v>153</v>
      </c>
      <c r="R27" s="30" t="s">
        <v>127</v>
      </c>
      <c r="S27" s="30" t="s">
        <v>128</v>
      </c>
      <c r="T27" s="30" t="s">
        <v>128</v>
      </c>
      <c r="U27" s="30" t="s">
        <v>187</v>
      </c>
      <c r="V27" s="29">
        <v>45895.0</v>
      </c>
      <c r="W27" s="29">
        <v>45895.0</v>
      </c>
      <c r="X27" s="30" t="s">
        <v>78</v>
      </c>
      <c r="Y27" s="30" t="s">
        <v>78</v>
      </c>
      <c r="Z27" s="30" t="s">
        <v>78</v>
      </c>
      <c r="AA27" s="30" t="s">
        <v>78</v>
      </c>
      <c r="AB27" s="30" t="s">
        <v>78</v>
      </c>
      <c r="AC27" s="30" t="s">
        <v>78</v>
      </c>
      <c r="AD27" s="30" t="s">
        <v>78</v>
      </c>
      <c r="AE27" s="32">
        <v>1.0</v>
      </c>
      <c r="AF27" s="32">
        <v>1.0</v>
      </c>
      <c r="AG27" s="32">
        <v>1.0</v>
      </c>
      <c r="AH27" s="32">
        <v>1.0</v>
      </c>
      <c r="AI27" s="32">
        <v>1.0</v>
      </c>
      <c r="AJ27" s="32">
        <v>1.0</v>
      </c>
      <c r="AK27" s="32">
        <v>1.0</v>
      </c>
      <c r="AL27" s="32">
        <v>1.0</v>
      </c>
      <c r="AM27" s="32">
        <v>1.0</v>
      </c>
      <c r="AN27" s="32">
        <v>1.0</v>
      </c>
      <c r="AO27" s="32">
        <v>1.0</v>
      </c>
      <c r="AP27" s="32">
        <v>1.0</v>
      </c>
      <c r="AQ27" s="32">
        <v>1.0</v>
      </c>
      <c r="AR27" s="32">
        <v>1.0</v>
      </c>
      <c r="AS27" s="32">
        <v>1.0</v>
      </c>
      <c r="AT27" s="32">
        <v>1.0</v>
      </c>
      <c r="AU27" s="32">
        <v>1.0</v>
      </c>
      <c r="AV27" s="32">
        <v>1.0</v>
      </c>
      <c r="AW27" s="32">
        <v>1.0</v>
      </c>
      <c r="AX27" s="32">
        <v>1.0</v>
      </c>
      <c r="AY27" s="32">
        <v>1.0</v>
      </c>
      <c r="AZ27" s="32">
        <v>1.0</v>
      </c>
      <c r="BA27" s="39" t="s">
        <v>99</v>
      </c>
      <c r="BB27" s="39" t="s">
        <v>99</v>
      </c>
      <c r="BC27" s="39" t="s">
        <v>99</v>
      </c>
      <c r="BD27" s="39" t="s">
        <v>99</v>
      </c>
      <c r="BE27" s="39" t="s">
        <v>99</v>
      </c>
      <c r="BF27" s="39" t="s">
        <v>99</v>
      </c>
      <c r="BG27" s="39" t="s">
        <v>99</v>
      </c>
      <c r="BH27" s="39" t="s">
        <v>99</v>
      </c>
      <c r="BI27" s="39" t="s">
        <v>99</v>
      </c>
      <c r="BJ27" s="39" t="s">
        <v>99</v>
      </c>
      <c r="BK27" s="39" t="s">
        <v>99</v>
      </c>
      <c r="BL27" s="39" t="s">
        <v>99</v>
      </c>
      <c r="BM27" s="39" t="s">
        <v>99</v>
      </c>
      <c r="BN27" s="47" t="s">
        <v>100</v>
      </c>
      <c r="BO27" s="39" t="s">
        <v>99</v>
      </c>
      <c r="BP27" s="35">
        <f>IFERROR(__xludf.DUMMYFUNCTION("IFERROR(
  INDEX(
    FILTER(X27:BK27, ISNUMBER(X27:BK27)),
    COUNTA(FILTER(X27:BK27, ISNUMBER(X27:BK27)))
  ),
  BK27
)"),1.0)</f>
        <v>1</v>
      </c>
    </row>
    <row r="28">
      <c r="A28" s="27">
        <v>15.0</v>
      </c>
      <c r="B28" s="28" t="s">
        <v>69</v>
      </c>
      <c r="C28" s="28">
        <v>1112.0</v>
      </c>
      <c r="D28" s="28" t="s">
        <v>188</v>
      </c>
      <c r="E28" s="28">
        <v>1129.0</v>
      </c>
      <c r="F28" s="29" t="str">
        <f>IFERROR(VLOOKUP(M28:M101,'R22 RELATÓRIO ACC'!B:F,5,FALSE),"NOT PUBLISHED")</f>
        <v>V40</v>
      </c>
      <c r="G28" s="29" t="str">
        <f>IFERROR(VLOOKUP(M28:M99,'R22 RELATÓRIO ACC'!B:P,15,FALSE),"NOT PUBLISHED")</f>
        <v>10/04/2026</v>
      </c>
      <c r="H28" s="29" t="str">
        <f>IFERROR(VLOOKUP(N28:N101,'RELATÓRIO ACC'!B:F,5,FALSE),"NOT PUBLISHED")</f>
        <v>V3</v>
      </c>
      <c r="I28" s="29" t="str">
        <f>IFERROR(VLOOKUP(N28:N99,'RELATÓRIO ACC'!B:P,15,FALSE),"NOT PUBLISHED")</f>
        <v>13/07/2026</v>
      </c>
      <c r="J28" s="29">
        <v>45882.0</v>
      </c>
      <c r="K28" s="30" t="s">
        <v>189</v>
      </c>
      <c r="L28" s="30" t="s">
        <v>123</v>
      </c>
      <c r="M28" s="31" t="s">
        <v>190</v>
      </c>
      <c r="N28" s="31" t="s">
        <v>191</v>
      </c>
      <c r="O28" s="30" t="s">
        <v>192</v>
      </c>
      <c r="P28" s="30" t="b">
        <v>0</v>
      </c>
      <c r="Q28" s="30" t="s">
        <v>153</v>
      </c>
      <c r="R28" s="30" t="s">
        <v>127</v>
      </c>
      <c r="S28" s="30" t="s">
        <v>128</v>
      </c>
      <c r="T28" s="30" t="s">
        <v>128</v>
      </c>
      <c r="U28" s="30" t="s">
        <v>187</v>
      </c>
      <c r="V28" s="29">
        <v>45883.0</v>
      </c>
      <c r="W28" s="29">
        <v>45883.0</v>
      </c>
      <c r="X28" s="30" t="s">
        <v>78</v>
      </c>
      <c r="Y28" s="30" t="s">
        <v>78</v>
      </c>
      <c r="Z28" s="32">
        <v>0.44</v>
      </c>
      <c r="AA28" s="32">
        <v>0.69</v>
      </c>
      <c r="AB28" s="32">
        <v>0.94</v>
      </c>
      <c r="AC28" s="32">
        <v>0.82</v>
      </c>
      <c r="AD28" s="32">
        <v>0.88</v>
      </c>
      <c r="AE28" s="32">
        <v>1.0</v>
      </c>
      <c r="AF28" s="32">
        <v>1.0</v>
      </c>
      <c r="AG28" s="32">
        <v>1.0</v>
      </c>
      <c r="AH28" s="32">
        <v>1.0</v>
      </c>
      <c r="AI28" s="32">
        <v>1.0</v>
      </c>
      <c r="AJ28" s="32">
        <v>1.0</v>
      </c>
      <c r="AK28" s="32">
        <v>1.0</v>
      </c>
      <c r="AL28" s="32">
        <v>1.0</v>
      </c>
      <c r="AM28" s="32">
        <v>1.0</v>
      </c>
      <c r="AN28" s="32">
        <v>1.0</v>
      </c>
      <c r="AO28" s="32">
        <v>1.0</v>
      </c>
      <c r="AP28" s="32">
        <v>1.0</v>
      </c>
      <c r="AQ28" s="32">
        <v>1.0</v>
      </c>
      <c r="AR28" s="32">
        <v>1.0</v>
      </c>
      <c r="AS28" s="32">
        <v>1.0</v>
      </c>
      <c r="AT28" s="32">
        <v>1.0</v>
      </c>
      <c r="AU28" s="32">
        <v>1.0</v>
      </c>
      <c r="AV28" s="32">
        <v>1.0</v>
      </c>
      <c r="AW28" s="32">
        <v>1.0</v>
      </c>
      <c r="AX28" s="32">
        <v>1.0</v>
      </c>
      <c r="AY28" s="32">
        <v>1.0</v>
      </c>
      <c r="AZ28" s="32">
        <v>1.0</v>
      </c>
      <c r="BA28" s="39" t="s">
        <v>99</v>
      </c>
      <c r="BB28" s="39" t="s">
        <v>99</v>
      </c>
      <c r="BC28" s="39" t="s">
        <v>99</v>
      </c>
      <c r="BD28" s="39" t="s">
        <v>99</v>
      </c>
      <c r="BE28" s="39" t="s">
        <v>99</v>
      </c>
      <c r="BF28" s="39" t="s">
        <v>99</v>
      </c>
      <c r="BG28" s="39" t="s">
        <v>99</v>
      </c>
      <c r="BH28" s="39" t="s">
        <v>99</v>
      </c>
      <c r="BI28" s="39" t="s">
        <v>99</v>
      </c>
      <c r="BJ28" s="39" t="s">
        <v>99</v>
      </c>
      <c r="BK28" s="39" t="s">
        <v>99</v>
      </c>
      <c r="BL28" s="39" t="s">
        <v>99</v>
      </c>
      <c r="BM28" s="39" t="s">
        <v>99</v>
      </c>
      <c r="BN28" s="47" t="s">
        <v>100</v>
      </c>
      <c r="BO28" s="39" t="s">
        <v>99</v>
      </c>
      <c r="BP28" s="35">
        <f>IFERROR(__xludf.DUMMYFUNCTION("IFERROR(
  INDEX(
    FILTER(X28:BK28, ISNUMBER(X28:BK28)),
    COUNTA(FILTER(X28:BK28, ISNUMBER(X28:BK28)))
  ),
  BK28
)"),1.0)</f>
        <v>1</v>
      </c>
    </row>
    <row r="29">
      <c r="A29" s="27">
        <v>16.0</v>
      </c>
      <c r="B29" s="28" t="s">
        <v>69</v>
      </c>
      <c r="C29" s="28">
        <v>1112.0</v>
      </c>
      <c r="D29" s="28" t="s">
        <v>188</v>
      </c>
      <c r="E29" s="28">
        <v>1129.0</v>
      </c>
      <c r="F29" s="29" t="str">
        <f>IFERROR(VLOOKUP(M29:M102,'R22 RELATÓRIO ACC'!B:F,5,FALSE),"NOT PUBLISHED")</f>
        <v>V39</v>
      </c>
      <c r="G29" s="29" t="str">
        <f>IFERROR(VLOOKUP(M29:M100,'R22 RELATÓRIO ACC'!B:P,15,FALSE),"NOT PUBLISHED")</f>
        <v>12/05/2026</v>
      </c>
      <c r="H29" s="29" t="str">
        <f>IFERROR(VLOOKUP(N29:N102,'RELATÓRIO ACC'!B:F,5,FALSE),"NOT PUBLISHED")</f>
        <v>V4</v>
      </c>
      <c r="I29" s="29" t="str">
        <f>IFERROR(VLOOKUP(N29:N100,'RELATÓRIO ACC'!B:P,15,FALSE),"NOT PUBLISHED")</f>
        <v>14/07/2026</v>
      </c>
      <c r="J29" s="29">
        <v>45863.0</v>
      </c>
      <c r="K29" s="30" t="s">
        <v>122</v>
      </c>
      <c r="L29" s="30" t="s">
        <v>123</v>
      </c>
      <c r="M29" s="31" t="s">
        <v>193</v>
      </c>
      <c r="N29" s="31" t="s">
        <v>194</v>
      </c>
      <c r="O29" s="30" t="s">
        <v>195</v>
      </c>
      <c r="P29" s="30" t="b">
        <v>0</v>
      </c>
      <c r="Q29" s="30" t="s">
        <v>153</v>
      </c>
      <c r="R29" s="30" t="s">
        <v>77</v>
      </c>
      <c r="S29" s="30"/>
      <c r="T29" s="30"/>
      <c r="U29" s="30"/>
      <c r="V29" s="29"/>
      <c r="W29" s="29">
        <v>45870.0</v>
      </c>
      <c r="X29" s="30" t="s">
        <v>78</v>
      </c>
      <c r="Y29" s="32">
        <v>0.69</v>
      </c>
      <c r="Z29" s="32">
        <v>0.81</v>
      </c>
      <c r="AA29" s="32">
        <v>0.69</v>
      </c>
      <c r="AB29" s="32">
        <v>1.0</v>
      </c>
      <c r="AC29" s="32">
        <v>0.82</v>
      </c>
      <c r="AD29" s="32">
        <v>1.0</v>
      </c>
      <c r="AE29" s="32">
        <v>1.0</v>
      </c>
      <c r="AF29" s="32">
        <v>1.0</v>
      </c>
      <c r="AG29" s="32">
        <v>1.0</v>
      </c>
      <c r="AH29" s="32">
        <v>1.0</v>
      </c>
      <c r="AI29" s="32">
        <v>1.0</v>
      </c>
      <c r="AJ29" s="32">
        <v>1.0</v>
      </c>
      <c r="AK29" s="32">
        <v>1.0</v>
      </c>
      <c r="AL29" s="32">
        <v>1.0</v>
      </c>
      <c r="AM29" s="32">
        <v>1.0</v>
      </c>
      <c r="AN29" s="32">
        <v>1.0</v>
      </c>
      <c r="AO29" s="32">
        <v>1.0</v>
      </c>
      <c r="AP29" s="32">
        <v>1.0</v>
      </c>
      <c r="AQ29" s="32">
        <v>1.0</v>
      </c>
      <c r="AR29" s="32">
        <v>1.0</v>
      </c>
      <c r="AS29" s="32">
        <v>1.0</v>
      </c>
      <c r="AT29" s="32">
        <v>1.0</v>
      </c>
      <c r="AU29" s="32">
        <v>1.0</v>
      </c>
      <c r="AV29" s="32">
        <v>1.0</v>
      </c>
      <c r="AW29" s="32">
        <v>1.0</v>
      </c>
      <c r="AX29" s="32">
        <v>1.0</v>
      </c>
      <c r="AY29" s="32">
        <v>1.0</v>
      </c>
      <c r="AZ29" s="32">
        <v>1.0</v>
      </c>
      <c r="BA29" s="39" t="s">
        <v>99</v>
      </c>
      <c r="BB29" s="39" t="s">
        <v>99</v>
      </c>
      <c r="BC29" s="39" t="s">
        <v>99</v>
      </c>
      <c r="BD29" s="39" t="s">
        <v>99</v>
      </c>
      <c r="BE29" s="39" t="s">
        <v>99</v>
      </c>
      <c r="BF29" s="39" t="s">
        <v>99</v>
      </c>
      <c r="BG29" s="39" t="s">
        <v>99</v>
      </c>
      <c r="BH29" s="39" t="s">
        <v>99</v>
      </c>
      <c r="BI29" s="39" t="s">
        <v>99</v>
      </c>
      <c r="BJ29" s="39" t="s">
        <v>99</v>
      </c>
      <c r="BK29" s="39" t="s">
        <v>99</v>
      </c>
      <c r="BL29" s="39" t="s">
        <v>99</v>
      </c>
      <c r="BM29" s="39" t="s">
        <v>99</v>
      </c>
      <c r="BN29" s="47" t="s">
        <v>100</v>
      </c>
      <c r="BO29" s="39" t="s">
        <v>99</v>
      </c>
      <c r="BP29" s="35">
        <f>IFERROR(__xludf.DUMMYFUNCTION("IFERROR(
  INDEX(
    FILTER(X29:BK29, ISNUMBER(X29:BK29)),
    COUNTA(FILTER(X29:BK29, ISNUMBER(X29:BK29)))
  ),
  BK29
)"),1.0)</f>
        <v>1</v>
      </c>
    </row>
    <row r="30">
      <c r="A30" s="27">
        <v>17.0</v>
      </c>
      <c r="B30" s="54" t="s">
        <v>69</v>
      </c>
      <c r="C30" s="54">
        <v>1112.0</v>
      </c>
      <c r="D30" s="54" t="s">
        <v>188</v>
      </c>
      <c r="E30" s="54">
        <v>1129.0</v>
      </c>
      <c r="F30" s="29" t="str">
        <f>IFERROR(VLOOKUP(M30:M103,'R22 RELATÓRIO ACC'!B:F,5,FALSE),"NOT PUBLISHED")</f>
        <v>V39</v>
      </c>
      <c r="G30" s="29" t="str">
        <f>IFERROR(VLOOKUP(M30:M101,'R22 RELATÓRIO ACC'!B:P,15,FALSE),"NOT PUBLISHED")</f>
        <v>19/03/2026</v>
      </c>
      <c r="H30" s="29" t="str">
        <f>IFERROR(VLOOKUP(N30:N103,'RELATÓRIO ACC'!B:F,5,FALSE),"NOT PUBLISHED")</f>
        <v>V5</v>
      </c>
      <c r="I30" s="29" t="str">
        <f>IFERROR(VLOOKUP(N30:N101,'RELATÓRIO ACC'!B:P,15,FALSE),"NOT PUBLISHED")</f>
        <v>10/07/2026</v>
      </c>
      <c r="J30" s="29">
        <v>45982.0</v>
      </c>
      <c r="K30" s="30" t="s">
        <v>196</v>
      </c>
      <c r="L30" s="30" t="s">
        <v>123</v>
      </c>
      <c r="M30" s="31" t="s">
        <v>197</v>
      </c>
      <c r="N30" s="31" t="s">
        <v>198</v>
      </c>
      <c r="O30" s="30" t="s">
        <v>199</v>
      </c>
      <c r="P30" s="30" t="b">
        <v>0</v>
      </c>
      <c r="Q30" s="30" t="s">
        <v>76</v>
      </c>
      <c r="R30" s="30" t="s">
        <v>127</v>
      </c>
      <c r="S30" s="30" t="s">
        <v>128</v>
      </c>
      <c r="T30" s="30" t="s">
        <v>128</v>
      </c>
      <c r="U30" s="30" t="s">
        <v>129</v>
      </c>
      <c r="V30" s="29">
        <v>45944.0</v>
      </c>
      <c r="W30" s="29">
        <v>45944.0</v>
      </c>
      <c r="X30" s="30" t="s">
        <v>78</v>
      </c>
      <c r="Y30" s="32">
        <v>0.56</v>
      </c>
      <c r="Z30" s="32">
        <v>0.56</v>
      </c>
      <c r="AA30" s="32">
        <v>0.75</v>
      </c>
      <c r="AB30" s="32">
        <v>0.88</v>
      </c>
      <c r="AC30" s="32">
        <v>0.82</v>
      </c>
      <c r="AD30" s="32">
        <v>0.94</v>
      </c>
      <c r="AE30" s="32">
        <v>0.94</v>
      </c>
      <c r="AF30" s="34" t="s">
        <v>79</v>
      </c>
      <c r="AG30" s="33" t="s">
        <v>79</v>
      </c>
      <c r="AH30" s="32">
        <v>0.94</v>
      </c>
      <c r="AI30" s="33" t="s">
        <v>79</v>
      </c>
      <c r="AJ30" s="35">
        <v>0.94</v>
      </c>
      <c r="AK30" s="34" t="s">
        <v>79</v>
      </c>
      <c r="AL30" s="35">
        <v>1.0</v>
      </c>
      <c r="AM30" s="35">
        <v>1.0</v>
      </c>
      <c r="AN30" s="35">
        <v>1.0</v>
      </c>
      <c r="AO30" s="35">
        <v>1.0</v>
      </c>
      <c r="AP30" s="35">
        <v>1.0</v>
      </c>
      <c r="AQ30" s="35">
        <v>1.0</v>
      </c>
      <c r="AR30" s="35">
        <v>1.0</v>
      </c>
      <c r="AS30" s="35">
        <v>1.0</v>
      </c>
      <c r="AT30" s="35">
        <v>1.0</v>
      </c>
      <c r="AU30" s="35">
        <v>1.0</v>
      </c>
      <c r="AV30" s="35">
        <v>1.0</v>
      </c>
      <c r="AW30" s="35">
        <v>1.0</v>
      </c>
      <c r="AX30" s="35">
        <v>1.0</v>
      </c>
      <c r="AY30" s="35">
        <v>1.0</v>
      </c>
      <c r="AZ30" s="35">
        <v>1.0</v>
      </c>
      <c r="BA30" s="39" t="s">
        <v>99</v>
      </c>
      <c r="BB30" s="39" t="s">
        <v>99</v>
      </c>
      <c r="BC30" s="39" t="s">
        <v>99</v>
      </c>
      <c r="BD30" s="39" t="s">
        <v>99</v>
      </c>
      <c r="BE30" s="39" t="s">
        <v>99</v>
      </c>
      <c r="BF30" s="39" t="s">
        <v>99</v>
      </c>
      <c r="BG30" s="39" t="s">
        <v>99</v>
      </c>
      <c r="BH30" s="39" t="s">
        <v>99</v>
      </c>
      <c r="BI30" s="39" t="s">
        <v>99</v>
      </c>
      <c r="BJ30" s="39" t="s">
        <v>99</v>
      </c>
      <c r="BK30" s="39" t="s">
        <v>99</v>
      </c>
      <c r="BL30" s="39" t="s">
        <v>99</v>
      </c>
      <c r="BM30" s="39" t="s">
        <v>99</v>
      </c>
      <c r="BN30" s="47" t="s">
        <v>100</v>
      </c>
      <c r="BO30" s="39" t="s">
        <v>99</v>
      </c>
      <c r="BP30" s="35">
        <f>IFERROR(__xludf.DUMMYFUNCTION("IFERROR(
  INDEX(
    FILTER(X30:BK30, ISNUMBER(X30:BK30)),
    COUNTA(FILTER(X30:BK30, ISNUMBER(X30:BK30)))
  ),
  BK30
)"),1.0)</f>
        <v>1</v>
      </c>
    </row>
    <row r="31">
      <c r="A31" s="27">
        <v>18.0</v>
      </c>
      <c r="B31" s="54" t="s">
        <v>69</v>
      </c>
      <c r="C31" s="54">
        <v>1112.0</v>
      </c>
      <c r="D31" s="54" t="s">
        <v>188</v>
      </c>
      <c r="E31" s="54">
        <v>1129.0</v>
      </c>
      <c r="F31" s="29" t="str">
        <f>IFERROR(VLOOKUP(M31:M104,'R22 RELATÓRIO ACC'!B:F,5,FALSE),"NOT PUBLISHED")</f>
        <v>V34</v>
      </c>
      <c r="G31" s="29" t="str">
        <f>IFERROR(VLOOKUP(M31:M102,'R22 RELATÓRIO ACC'!B:P,15,FALSE),"NOT PUBLISHED")</f>
        <v>05/05/2026</v>
      </c>
      <c r="H31" s="29" t="str">
        <f>IFERROR(VLOOKUP(N31:N104,'RELATÓRIO ACC'!B:F,5,FALSE),"NOT PUBLISHED")</f>
        <v>V3</v>
      </c>
      <c r="I31" s="29" t="str">
        <f>IFERROR(VLOOKUP(N31:N102,'RELATÓRIO ACC'!B:P,15,FALSE),"NOT PUBLISHED")</f>
        <v>03/07/2026</v>
      </c>
      <c r="J31" s="29">
        <v>45849.0</v>
      </c>
      <c r="K31" s="30" t="s">
        <v>200</v>
      </c>
      <c r="L31" s="30" t="s">
        <v>123</v>
      </c>
      <c r="M31" s="31" t="s">
        <v>201</v>
      </c>
      <c r="N31" s="31" t="s">
        <v>202</v>
      </c>
      <c r="O31" s="30" t="s">
        <v>203</v>
      </c>
      <c r="P31" s="30" t="b">
        <v>0</v>
      </c>
      <c r="Q31" s="30" t="s">
        <v>153</v>
      </c>
      <c r="R31" s="30" t="s">
        <v>154</v>
      </c>
      <c r="S31" s="30"/>
      <c r="T31" s="30"/>
      <c r="U31" s="30"/>
      <c r="V31" s="29"/>
      <c r="W31" s="29">
        <v>45853.0</v>
      </c>
      <c r="X31" s="30" t="s">
        <v>78</v>
      </c>
      <c r="Y31" s="32">
        <v>0.56</v>
      </c>
      <c r="Z31" s="32">
        <v>0.88</v>
      </c>
      <c r="AA31" s="32">
        <v>0.81</v>
      </c>
      <c r="AB31" s="32">
        <v>0.94</v>
      </c>
      <c r="AC31" s="32">
        <v>1.0</v>
      </c>
      <c r="AD31" s="32">
        <v>1.0</v>
      </c>
      <c r="AE31" s="32">
        <v>1.0</v>
      </c>
      <c r="AF31" s="32">
        <v>1.0</v>
      </c>
      <c r="AG31" s="32">
        <v>1.0</v>
      </c>
      <c r="AH31" s="32">
        <v>1.0</v>
      </c>
      <c r="AI31" s="32">
        <v>1.0</v>
      </c>
      <c r="AJ31" s="32">
        <v>1.0</v>
      </c>
      <c r="AK31" s="32">
        <v>1.0</v>
      </c>
      <c r="AL31" s="32">
        <v>1.0</v>
      </c>
      <c r="AM31" s="32">
        <v>1.0</v>
      </c>
      <c r="AN31" s="32">
        <v>1.0</v>
      </c>
      <c r="AO31" s="32">
        <v>1.0</v>
      </c>
      <c r="AP31" s="32">
        <v>1.0</v>
      </c>
      <c r="AQ31" s="32">
        <v>1.0</v>
      </c>
      <c r="AR31" s="32">
        <v>1.0</v>
      </c>
      <c r="AS31" s="32">
        <v>1.0</v>
      </c>
      <c r="AT31" s="32">
        <v>1.0</v>
      </c>
      <c r="AU31" s="32">
        <v>1.0</v>
      </c>
      <c r="AV31" s="32">
        <v>1.0</v>
      </c>
      <c r="AW31" s="32">
        <v>1.0</v>
      </c>
      <c r="AX31" s="32">
        <v>1.0</v>
      </c>
      <c r="AY31" s="32">
        <v>1.0</v>
      </c>
      <c r="AZ31" s="32">
        <v>1.0</v>
      </c>
      <c r="BA31" s="39" t="s">
        <v>99</v>
      </c>
      <c r="BB31" s="39" t="s">
        <v>99</v>
      </c>
      <c r="BC31" s="39" t="s">
        <v>99</v>
      </c>
      <c r="BD31" s="39" t="s">
        <v>99</v>
      </c>
      <c r="BE31" s="39" t="s">
        <v>99</v>
      </c>
      <c r="BF31" s="39" t="s">
        <v>99</v>
      </c>
      <c r="BG31" s="39" t="s">
        <v>99</v>
      </c>
      <c r="BH31" s="39" t="s">
        <v>99</v>
      </c>
      <c r="BI31" s="39" t="s">
        <v>99</v>
      </c>
      <c r="BJ31" s="39" t="s">
        <v>99</v>
      </c>
      <c r="BK31" s="39" t="s">
        <v>99</v>
      </c>
      <c r="BL31" s="39" t="s">
        <v>99</v>
      </c>
      <c r="BM31" s="39" t="s">
        <v>99</v>
      </c>
      <c r="BN31" s="47" t="s">
        <v>100</v>
      </c>
      <c r="BO31" s="39" t="s">
        <v>99</v>
      </c>
      <c r="BP31" s="35">
        <f>IFERROR(__xludf.DUMMYFUNCTION("IFERROR(
  INDEX(
    FILTER(X31:BK31, ISNUMBER(X31:BK31)),
    COUNTA(FILTER(X31:BK31, ISNUMBER(X31:BK31)))
  ),
  BK31
)"),1.0)</f>
        <v>1</v>
      </c>
    </row>
    <row r="32">
      <c r="A32" s="27">
        <v>19.0</v>
      </c>
      <c r="B32" s="28" t="s">
        <v>69</v>
      </c>
      <c r="C32" s="28">
        <v>1112.0</v>
      </c>
      <c r="D32" s="28" t="s">
        <v>188</v>
      </c>
      <c r="E32" s="28">
        <v>1129.0</v>
      </c>
      <c r="F32" s="29" t="str">
        <f>IFERROR(VLOOKUP(M32:M105,'R22 RELATÓRIO ACC'!B:F,5,FALSE),"NOT PUBLISHED")</f>
        <v>V33</v>
      </c>
      <c r="G32" s="29" t="str">
        <f>IFERROR(VLOOKUP(M32:M103,'R22 RELATÓRIO ACC'!B:P,15,FALSE),"NOT PUBLISHED")</f>
        <v>04/03/2026</v>
      </c>
      <c r="H32" s="29" t="str">
        <f>IFERROR(VLOOKUP(N32:N105,'RELATÓRIO ACC'!B:F,5,FALSE),"NOT PUBLISHED")</f>
        <v>V2</v>
      </c>
      <c r="I32" s="29" t="str">
        <f>IFERROR(VLOOKUP(N32:N103,'RELATÓRIO ACC'!B:P,15,FALSE),"NOT PUBLISHED")</f>
        <v>13/07/2026</v>
      </c>
      <c r="J32" s="29">
        <v>45868.0</v>
      </c>
      <c r="K32" s="30" t="s">
        <v>204</v>
      </c>
      <c r="L32" s="30" t="s">
        <v>123</v>
      </c>
      <c r="M32" s="31" t="s">
        <v>205</v>
      </c>
      <c r="N32" s="31" t="s">
        <v>206</v>
      </c>
      <c r="O32" s="30" t="s">
        <v>207</v>
      </c>
      <c r="P32" s="30" t="b">
        <v>0</v>
      </c>
      <c r="Q32" s="30" t="s">
        <v>153</v>
      </c>
      <c r="R32" s="30" t="s">
        <v>77</v>
      </c>
      <c r="S32" s="30"/>
      <c r="T32" s="30"/>
      <c r="U32" s="30"/>
      <c r="V32" s="29"/>
      <c r="W32" s="29">
        <v>45870.0</v>
      </c>
      <c r="X32" s="30" t="s">
        <v>78</v>
      </c>
      <c r="Y32" s="32">
        <v>0.75</v>
      </c>
      <c r="Z32" s="32">
        <v>0.56</v>
      </c>
      <c r="AA32" s="32">
        <v>0.94</v>
      </c>
      <c r="AB32" s="32">
        <v>1.0</v>
      </c>
      <c r="AC32" s="32">
        <v>0.94</v>
      </c>
      <c r="AD32" s="32">
        <v>1.0</v>
      </c>
      <c r="AE32" s="32">
        <v>1.0</v>
      </c>
      <c r="AF32" s="32">
        <v>1.0</v>
      </c>
      <c r="AG32" s="32">
        <v>1.0</v>
      </c>
      <c r="AH32" s="32">
        <v>1.0</v>
      </c>
      <c r="AI32" s="32">
        <v>1.0</v>
      </c>
      <c r="AJ32" s="32">
        <v>1.0</v>
      </c>
      <c r="AK32" s="32">
        <v>1.0</v>
      </c>
      <c r="AL32" s="32">
        <v>1.0</v>
      </c>
      <c r="AM32" s="32">
        <v>1.0</v>
      </c>
      <c r="AN32" s="32">
        <v>1.0</v>
      </c>
      <c r="AO32" s="32">
        <v>1.0</v>
      </c>
      <c r="AP32" s="32">
        <v>1.0</v>
      </c>
      <c r="AQ32" s="32">
        <v>1.0</v>
      </c>
      <c r="AR32" s="32">
        <v>1.0</v>
      </c>
      <c r="AS32" s="32">
        <v>1.0</v>
      </c>
      <c r="AT32" s="32">
        <v>1.0</v>
      </c>
      <c r="AU32" s="32">
        <v>1.0</v>
      </c>
      <c r="AV32" s="32">
        <v>1.0</v>
      </c>
      <c r="AW32" s="32">
        <v>1.0</v>
      </c>
      <c r="AX32" s="32">
        <v>1.0</v>
      </c>
      <c r="AY32" s="32">
        <v>1.0</v>
      </c>
      <c r="AZ32" s="32">
        <v>1.0</v>
      </c>
      <c r="BA32" s="39" t="s">
        <v>99</v>
      </c>
      <c r="BB32" s="39" t="s">
        <v>99</v>
      </c>
      <c r="BC32" s="39" t="s">
        <v>99</v>
      </c>
      <c r="BD32" s="39" t="s">
        <v>99</v>
      </c>
      <c r="BE32" s="39" t="s">
        <v>99</v>
      </c>
      <c r="BF32" s="39" t="s">
        <v>99</v>
      </c>
      <c r="BG32" s="39" t="s">
        <v>99</v>
      </c>
      <c r="BH32" s="39" t="s">
        <v>99</v>
      </c>
      <c r="BI32" s="39" t="s">
        <v>99</v>
      </c>
      <c r="BJ32" s="39" t="s">
        <v>99</v>
      </c>
      <c r="BK32" s="39" t="s">
        <v>99</v>
      </c>
      <c r="BL32" s="39" t="s">
        <v>99</v>
      </c>
      <c r="BM32" s="39" t="s">
        <v>99</v>
      </c>
      <c r="BN32" s="47" t="s">
        <v>100</v>
      </c>
      <c r="BO32" s="39" t="s">
        <v>99</v>
      </c>
      <c r="BP32" s="35">
        <f>IFERROR(__xludf.DUMMYFUNCTION("IFERROR(
  INDEX(
    FILTER(X32:BK32, ISNUMBER(X32:BK32)),
    COUNTA(FILTER(X32:BK32, ISNUMBER(X32:BK32)))
  ),
  BK32
)"),1.0)</f>
        <v>1</v>
      </c>
    </row>
    <row r="33">
      <c r="A33" s="27">
        <v>20.0</v>
      </c>
      <c r="B33" s="28" t="s">
        <v>69</v>
      </c>
      <c r="C33" s="28">
        <v>1112.0</v>
      </c>
      <c r="D33" s="28" t="s">
        <v>188</v>
      </c>
      <c r="E33" s="28">
        <v>1129.0</v>
      </c>
      <c r="F33" s="29" t="str">
        <f>IFERROR(VLOOKUP(M33:M106,'R22 RELATÓRIO ACC'!B:F,5,FALSE),"NOT PUBLISHED")</f>
        <v>V32</v>
      </c>
      <c r="G33" s="29" t="str">
        <f>IFERROR(VLOOKUP(M33:M104,'R22 RELATÓRIO ACC'!B:P,15,FALSE),"NOT PUBLISHED")</f>
        <v>24/04/2026</v>
      </c>
      <c r="H33" s="29" t="str">
        <f>IFERROR(VLOOKUP(N33:N106,'RELATÓRIO ACC'!B:F,5,FALSE),"NOT PUBLISHED")</f>
        <v>V3</v>
      </c>
      <c r="I33" s="29" t="str">
        <f>IFERROR(VLOOKUP(N33:N104,'RELATÓRIO ACC'!B:P,15,FALSE),"NOT PUBLISHED")</f>
        <v>03/07/2026</v>
      </c>
      <c r="J33" s="29">
        <v>45846.0</v>
      </c>
      <c r="K33" s="30" t="s">
        <v>208</v>
      </c>
      <c r="L33" s="30" t="s">
        <v>123</v>
      </c>
      <c r="M33" s="31" t="s">
        <v>209</v>
      </c>
      <c r="N33" s="31" t="s">
        <v>210</v>
      </c>
      <c r="O33" s="30" t="s">
        <v>211</v>
      </c>
      <c r="P33" s="30" t="b">
        <v>0</v>
      </c>
      <c r="Q33" s="30" t="s">
        <v>153</v>
      </c>
      <c r="R33" s="30" t="s">
        <v>154</v>
      </c>
      <c r="S33" s="30"/>
      <c r="T33" s="30"/>
      <c r="U33" s="30"/>
      <c r="V33" s="29"/>
      <c r="W33" s="29">
        <v>45852.0</v>
      </c>
      <c r="X33" s="30" t="s">
        <v>78</v>
      </c>
      <c r="Y33" s="32">
        <v>0.75</v>
      </c>
      <c r="Z33" s="32">
        <v>0.75</v>
      </c>
      <c r="AA33" s="32">
        <v>0.94</v>
      </c>
      <c r="AB33" s="32">
        <v>1.0</v>
      </c>
      <c r="AC33" s="32">
        <v>1.0</v>
      </c>
      <c r="AD33" s="32">
        <v>1.0</v>
      </c>
      <c r="AE33" s="32">
        <v>1.0</v>
      </c>
      <c r="AF33" s="32">
        <v>1.0</v>
      </c>
      <c r="AG33" s="32">
        <v>1.0</v>
      </c>
      <c r="AH33" s="32">
        <v>1.0</v>
      </c>
      <c r="AI33" s="32">
        <v>1.0</v>
      </c>
      <c r="AJ33" s="32">
        <v>1.0</v>
      </c>
      <c r="AK33" s="32">
        <v>1.0</v>
      </c>
      <c r="AL33" s="32">
        <v>1.0</v>
      </c>
      <c r="AM33" s="32">
        <v>1.0</v>
      </c>
      <c r="AN33" s="32">
        <v>1.0</v>
      </c>
      <c r="AO33" s="32">
        <v>1.0</v>
      </c>
      <c r="AP33" s="32">
        <v>1.0</v>
      </c>
      <c r="AQ33" s="32">
        <v>1.0</v>
      </c>
      <c r="AR33" s="32">
        <v>1.0</v>
      </c>
      <c r="AS33" s="32">
        <v>1.0</v>
      </c>
      <c r="AT33" s="32">
        <v>1.0</v>
      </c>
      <c r="AU33" s="32">
        <v>1.0</v>
      </c>
      <c r="AV33" s="32">
        <v>1.0</v>
      </c>
      <c r="AW33" s="32">
        <v>1.0</v>
      </c>
      <c r="AX33" s="32">
        <v>1.0</v>
      </c>
      <c r="AY33" s="32">
        <v>1.0</v>
      </c>
      <c r="AZ33" s="32">
        <v>1.0</v>
      </c>
      <c r="BA33" s="39" t="s">
        <v>99</v>
      </c>
      <c r="BB33" s="39" t="s">
        <v>99</v>
      </c>
      <c r="BC33" s="39" t="s">
        <v>99</v>
      </c>
      <c r="BD33" s="39" t="s">
        <v>99</v>
      </c>
      <c r="BE33" s="39" t="s">
        <v>99</v>
      </c>
      <c r="BF33" s="39" t="s">
        <v>99</v>
      </c>
      <c r="BG33" s="39" t="s">
        <v>99</v>
      </c>
      <c r="BH33" s="39" t="s">
        <v>99</v>
      </c>
      <c r="BI33" s="39" t="s">
        <v>99</v>
      </c>
      <c r="BJ33" s="39" t="s">
        <v>99</v>
      </c>
      <c r="BK33" s="39" t="s">
        <v>99</v>
      </c>
      <c r="BL33" s="39" t="s">
        <v>99</v>
      </c>
      <c r="BM33" s="39" t="s">
        <v>99</v>
      </c>
      <c r="BN33" s="47" t="s">
        <v>100</v>
      </c>
      <c r="BO33" s="39" t="s">
        <v>99</v>
      </c>
      <c r="BP33" s="35">
        <f>IFERROR(__xludf.DUMMYFUNCTION("IFERROR(
  INDEX(
    FILTER(X33:BK33, ISNUMBER(X33:BK33)),
    COUNTA(FILTER(X33:BK33, ISNUMBER(X33:BK33)))
  ),
  BK33
)"),1.0)</f>
        <v>1</v>
      </c>
      <c r="BR33" s="55" t="s">
        <v>212</v>
      </c>
    </row>
    <row r="34">
      <c r="A34" s="27">
        <v>21.0</v>
      </c>
      <c r="B34" s="28" t="s">
        <v>69</v>
      </c>
      <c r="C34" s="28">
        <v>1112.0</v>
      </c>
      <c r="D34" s="28" t="s">
        <v>188</v>
      </c>
      <c r="E34" s="28">
        <v>1129.0</v>
      </c>
      <c r="F34" s="29" t="str">
        <f>IFERROR(VLOOKUP(M34:M107,'R22 RELATÓRIO ACC'!B:F,5,FALSE),"NOT PUBLISHED")</f>
        <v>V52</v>
      </c>
      <c r="G34" s="29" t="str">
        <f>IFERROR(VLOOKUP(M34:M105,'R22 RELATÓRIO ACC'!B:P,15,FALSE),"NOT PUBLISHED")</f>
        <v>30/04/2026</v>
      </c>
      <c r="H34" s="29" t="str">
        <f>IFERROR(VLOOKUP(N34:N107,'RELATÓRIO ACC'!B:F,5,FALSE),"NOT PUBLISHED")</f>
        <v>V4</v>
      </c>
      <c r="I34" s="29" t="str">
        <f>IFERROR(VLOOKUP(N34:N105,'RELATÓRIO ACC'!B:P,15,FALSE),"NOT PUBLISHED")</f>
        <v>06/07/2026</v>
      </c>
      <c r="J34" s="29">
        <v>46077.0</v>
      </c>
      <c r="K34" s="30" t="s">
        <v>213</v>
      </c>
      <c r="L34" s="30" t="s">
        <v>123</v>
      </c>
      <c r="M34" s="31" t="s">
        <v>214</v>
      </c>
      <c r="N34" s="31" t="s">
        <v>215</v>
      </c>
      <c r="O34" s="30" t="s">
        <v>216</v>
      </c>
      <c r="P34" s="30" t="b">
        <v>0</v>
      </c>
      <c r="Q34" s="30" t="s">
        <v>76</v>
      </c>
      <c r="R34" s="30" t="s">
        <v>127</v>
      </c>
      <c r="S34" s="30" t="s">
        <v>128</v>
      </c>
      <c r="T34" s="30" t="s">
        <v>128</v>
      </c>
      <c r="U34" s="30" t="s">
        <v>129</v>
      </c>
      <c r="V34" s="29">
        <v>45944.0</v>
      </c>
      <c r="W34" s="29">
        <v>45944.0</v>
      </c>
      <c r="X34" s="30" t="s">
        <v>78</v>
      </c>
      <c r="Y34" s="32">
        <v>0.44</v>
      </c>
      <c r="Z34" s="32">
        <v>0.44</v>
      </c>
      <c r="AA34" s="32">
        <v>0.63</v>
      </c>
      <c r="AB34" s="32">
        <v>0.75</v>
      </c>
      <c r="AC34" s="32">
        <v>0.76</v>
      </c>
      <c r="AD34" s="32">
        <v>0.88</v>
      </c>
      <c r="AE34" s="32">
        <v>0.82</v>
      </c>
      <c r="AF34" s="34" t="s">
        <v>79</v>
      </c>
      <c r="AG34" s="34" t="s">
        <v>79</v>
      </c>
      <c r="AH34" s="32">
        <v>0.82</v>
      </c>
      <c r="AI34" s="34" t="s">
        <v>79</v>
      </c>
      <c r="AJ34" s="35">
        <v>0.82</v>
      </c>
      <c r="AK34" s="32">
        <v>0.88</v>
      </c>
      <c r="AL34" s="32">
        <v>0.88</v>
      </c>
      <c r="AM34" s="34" t="s">
        <v>79</v>
      </c>
      <c r="AN34" s="35">
        <v>0.88</v>
      </c>
      <c r="AO34" s="35">
        <v>0.88</v>
      </c>
      <c r="AP34" s="34" t="s">
        <v>79</v>
      </c>
      <c r="AQ34" s="34" t="s">
        <v>79</v>
      </c>
      <c r="AR34" s="35">
        <v>0.82</v>
      </c>
      <c r="AS34" s="34" t="s">
        <v>79</v>
      </c>
      <c r="AT34" s="35">
        <v>1.0</v>
      </c>
      <c r="AU34" s="35">
        <v>1.0</v>
      </c>
      <c r="AV34" s="35">
        <v>1.0</v>
      </c>
      <c r="AW34" s="35">
        <v>1.0</v>
      </c>
      <c r="AX34" s="35">
        <v>1.0</v>
      </c>
      <c r="AY34" s="35">
        <v>1.0</v>
      </c>
      <c r="AZ34" s="35">
        <v>1.0</v>
      </c>
      <c r="BA34" s="39" t="s">
        <v>99</v>
      </c>
      <c r="BB34" s="39" t="s">
        <v>99</v>
      </c>
      <c r="BC34" s="39" t="s">
        <v>99</v>
      </c>
      <c r="BD34" s="39" t="s">
        <v>99</v>
      </c>
      <c r="BE34" s="39" t="s">
        <v>99</v>
      </c>
      <c r="BF34" s="39" t="s">
        <v>99</v>
      </c>
      <c r="BG34" s="39" t="s">
        <v>99</v>
      </c>
      <c r="BH34" s="39" t="s">
        <v>99</v>
      </c>
      <c r="BI34" s="39" t="s">
        <v>99</v>
      </c>
      <c r="BJ34" s="39" t="s">
        <v>99</v>
      </c>
      <c r="BK34" s="39" t="s">
        <v>99</v>
      </c>
      <c r="BL34" s="39" t="s">
        <v>99</v>
      </c>
      <c r="BM34" s="39" t="s">
        <v>99</v>
      </c>
      <c r="BN34" s="30" t="s">
        <v>100</v>
      </c>
      <c r="BO34" s="39" t="s">
        <v>99</v>
      </c>
      <c r="BP34" s="35">
        <f>IFERROR(__xludf.DUMMYFUNCTION("IFERROR(
  INDEX(
    FILTER(X34:BK34, ISNUMBER(X34:BK34)),
    COUNTA(FILTER(X34:BK34, ISNUMBER(X34:BK34)))
  ),
  BK34
)"),1.0)</f>
        <v>1</v>
      </c>
    </row>
    <row r="35">
      <c r="A35" s="27">
        <v>22.0</v>
      </c>
      <c r="B35" s="28" t="s">
        <v>69</v>
      </c>
      <c r="C35" s="28">
        <v>1112.0</v>
      </c>
      <c r="D35" s="28" t="s">
        <v>188</v>
      </c>
      <c r="E35" s="28">
        <v>1129.0</v>
      </c>
      <c r="F35" s="29" t="str">
        <f>IFERROR(VLOOKUP(M35:M108,'R22 RELATÓRIO ACC'!B:F,5,FALSE),"NOT PUBLISHED")</f>
        <v>V33</v>
      </c>
      <c r="G35" s="29" t="str">
        <f>IFERROR(VLOOKUP(M35:M106,'R22 RELATÓRIO ACC'!B:P,15,FALSE),"NOT PUBLISHED")</f>
        <v>05/03/2026</v>
      </c>
      <c r="H35" s="29" t="str">
        <f>IFERROR(VLOOKUP(N35:N108,'RELATÓRIO ACC'!B:F,5,FALSE),"NOT PUBLISHED")</f>
        <v>V1</v>
      </c>
      <c r="I35" s="29" t="str">
        <f>IFERROR(VLOOKUP(N35:N106,'RELATÓRIO ACC'!B:P,15,FALSE),"NOT PUBLISHED")</f>
        <v>19/05/2026</v>
      </c>
      <c r="J35" s="29">
        <v>46077.0</v>
      </c>
      <c r="K35" s="30" t="s">
        <v>217</v>
      </c>
      <c r="L35" s="30" t="s">
        <v>123</v>
      </c>
      <c r="M35" s="31" t="s">
        <v>218</v>
      </c>
      <c r="N35" s="31" t="s">
        <v>219</v>
      </c>
      <c r="O35" s="30" t="s">
        <v>220</v>
      </c>
      <c r="P35" s="30" t="b">
        <v>0</v>
      </c>
      <c r="Q35" s="30" t="s">
        <v>76</v>
      </c>
      <c r="R35" s="30" t="s">
        <v>127</v>
      </c>
      <c r="S35" s="30" t="s">
        <v>128</v>
      </c>
      <c r="T35" s="30" t="s">
        <v>128</v>
      </c>
      <c r="U35" s="30" t="s">
        <v>145</v>
      </c>
      <c r="V35" s="29">
        <v>45944.0</v>
      </c>
      <c r="W35" s="29">
        <v>45944.0</v>
      </c>
      <c r="X35" s="30" t="s">
        <v>78</v>
      </c>
      <c r="Y35" s="32">
        <v>0.38</v>
      </c>
      <c r="Z35" s="32">
        <v>0.5</v>
      </c>
      <c r="AA35" s="32">
        <v>0.5</v>
      </c>
      <c r="AB35" s="32">
        <v>0.94</v>
      </c>
      <c r="AC35" s="32">
        <v>0.88</v>
      </c>
      <c r="AD35" s="32">
        <v>0.88</v>
      </c>
      <c r="AE35" s="32">
        <v>0.88</v>
      </c>
      <c r="AF35" s="33" t="s">
        <v>79</v>
      </c>
      <c r="AG35" s="33" t="s">
        <v>79</v>
      </c>
      <c r="AH35" s="32">
        <v>0.94</v>
      </c>
      <c r="AI35" s="32">
        <v>0.94</v>
      </c>
      <c r="AJ35" s="35">
        <v>0.94</v>
      </c>
      <c r="AK35" s="34" t="s">
        <v>79</v>
      </c>
      <c r="AL35" s="35">
        <v>0.94</v>
      </c>
      <c r="AM35" s="34" t="s">
        <v>79</v>
      </c>
      <c r="AN35" s="35">
        <v>0.94</v>
      </c>
      <c r="AO35" s="35">
        <v>0.94</v>
      </c>
      <c r="AP35" s="34" t="s">
        <v>79</v>
      </c>
      <c r="AQ35" s="34" t="s">
        <v>79</v>
      </c>
      <c r="AR35" s="35">
        <v>0.94</v>
      </c>
      <c r="AS35" s="34" t="s">
        <v>79</v>
      </c>
      <c r="AT35" s="35">
        <v>1.0</v>
      </c>
      <c r="AU35" s="35">
        <v>1.0</v>
      </c>
      <c r="AV35" s="35">
        <v>1.0</v>
      </c>
      <c r="AW35" s="35">
        <v>1.0</v>
      </c>
      <c r="AX35" s="35">
        <v>1.0</v>
      </c>
      <c r="AY35" s="35">
        <v>1.0</v>
      </c>
      <c r="AZ35" s="35">
        <v>1.0</v>
      </c>
      <c r="BA35" s="39" t="s">
        <v>99</v>
      </c>
      <c r="BB35" s="39" t="s">
        <v>99</v>
      </c>
      <c r="BC35" s="39" t="s">
        <v>99</v>
      </c>
      <c r="BD35" s="39" t="s">
        <v>99</v>
      </c>
      <c r="BE35" s="39" t="s">
        <v>99</v>
      </c>
      <c r="BF35" s="39" t="s">
        <v>99</v>
      </c>
      <c r="BG35" s="39" t="s">
        <v>99</v>
      </c>
      <c r="BH35" s="39" t="s">
        <v>99</v>
      </c>
      <c r="BI35" s="39" t="s">
        <v>99</v>
      </c>
      <c r="BJ35" s="39" t="s">
        <v>99</v>
      </c>
      <c r="BK35" s="39" t="s">
        <v>99</v>
      </c>
      <c r="BL35" s="39" t="s">
        <v>99</v>
      </c>
      <c r="BM35" s="39" t="s">
        <v>99</v>
      </c>
      <c r="BN35" s="30" t="s">
        <v>100</v>
      </c>
      <c r="BO35" s="39" t="s">
        <v>99</v>
      </c>
      <c r="BP35" s="35">
        <f>IFERROR(__xludf.DUMMYFUNCTION("IFERROR(
  INDEX(
    FILTER(X35:BK35, ISNUMBER(X35:BK35)),
    COUNTA(FILTER(X35:BK35, ISNUMBER(X35:BK35)))
  ),
  BK35
)"),1.0)</f>
        <v>1</v>
      </c>
    </row>
    <row r="36">
      <c r="A36" s="27">
        <v>23.0</v>
      </c>
      <c r="B36" s="28" t="s">
        <v>69</v>
      </c>
      <c r="C36" s="28">
        <v>1112.0</v>
      </c>
      <c r="D36" s="28" t="s">
        <v>188</v>
      </c>
      <c r="E36" s="28">
        <v>1129.0</v>
      </c>
      <c r="F36" s="29" t="str">
        <f>IFERROR(VLOOKUP(M36:M109,'R22 RELATÓRIO ACC'!B:F,5,FALSE),"NOT PUBLISHED")</f>
        <v>V30</v>
      </c>
      <c r="G36" s="29" t="str">
        <f>IFERROR(VLOOKUP(M36:M107,'R22 RELATÓRIO ACC'!B:P,15,FALSE),"NOT PUBLISHED")</f>
        <v>24/03/2026</v>
      </c>
      <c r="H36" s="29" t="str">
        <f>IFERROR(VLOOKUP(N36:N109,'RELATÓRIO ACC'!B:F,5,FALSE),"NOT PUBLISHED")</f>
        <v>V2</v>
      </c>
      <c r="I36" s="29" t="str">
        <f>IFERROR(VLOOKUP(N36:N107,'RELATÓRIO ACC'!B:P,15,FALSE),"NOT PUBLISHED")</f>
        <v>13/07/2026</v>
      </c>
      <c r="J36" s="29">
        <v>46091.0</v>
      </c>
      <c r="K36" s="30" t="s">
        <v>221</v>
      </c>
      <c r="L36" s="30" t="s">
        <v>123</v>
      </c>
      <c r="M36" s="31" t="s">
        <v>222</v>
      </c>
      <c r="N36" s="31" t="s">
        <v>223</v>
      </c>
      <c r="O36" s="31" t="s">
        <v>224</v>
      </c>
      <c r="P36" s="30" t="b">
        <v>0</v>
      </c>
      <c r="Q36" s="30" t="s">
        <v>76</v>
      </c>
      <c r="R36" s="30" t="s">
        <v>154</v>
      </c>
      <c r="S36" s="30" t="s">
        <v>128</v>
      </c>
      <c r="T36" s="30" t="s">
        <v>128</v>
      </c>
      <c r="U36" s="30" t="s">
        <v>129</v>
      </c>
      <c r="V36" s="29">
        <v>45944.0</v>
      </c>
      <c r="W36" s="29">
        <v>45944.0</v>
      </c>
      <c r="X36" s="30" t="s">
        <v>78</v>
      </c>
      <c r="Y36" s="32">
        <v>0.63</v>
      </c>
      <c r="Z36" s="32">
        <v>0.56</v>
      </c>
      <c r="AA36" s="32">
        <v>0.5</v>
      </c>
      <c r="AB36" s="32">
        <v>0.56</v>
      </c>
      <c r="AC36" s="32">
        <v>0.65</v>
      </c>
      <c r="AD36" s="33" t="s">
        <v>79</v>
      </c>
      <c r="AE36" s="33" t="s">
        <v>79</v>
      </c>
      <c r="AF36" s="33" t="s">
        <v>79</v>
      </c>
      <c r="AG36" s="33" t="s">
        <v>79</v>
      </c>
      <c r="AH36" s="32">
        <v>0.71</v>
      </c>
      <c r="AI36" s="33" t="s">
        <v>79</v>
      </c>
      <c r="AJ36" s="35">
        <v>0.71</v>
      </c>
      <c r="AK36" s="34" t="s">
        <v>79</v>
      </c>
      <c r="AL36" s="35">
        <v>0.71</v>
      </c>
      <c r="AM36" s="34" t="s">
        <v>79</v>
      </c>
      <c r="AN36" s="35">
        <v>0.71</v>
      </c>
      <c r="AO36" s="35">
        <v>0.71</v>
      </c>
      <c r="AP36" s="35">
        <v>0.76</v>
      </c>
      <c r="AQ36" s="34" t="s">
        <v>79</v>
      </c>
      <c r="AR36" s="35">
        <v>0.76</v>
      </c>
      <c r="AS36" s="35">
        <v>0.88</v>
      </c>
      <c r="AT36" s="34" t="s">
        <v>79</v>
      </c>
      <c r="AU36" s="35">
        <v>1.0</v>
      </c>
      <c r="AV36" s="35">
        <v>1.0</v>
      </c>
      <c r="AW36" s="35">
        <v>1.0</v>
      </c>
      <c r="AX36" s="35">
        <v>1.0</v>
      </c>
      <c r="AY36" s="35">
        <v>1.0</v>
      </c>
      <c r="AZ36" s="35">
        <v>1.0</v>
      </c>
      <c r="BA36" s="39" t="s">
        <v>99</v>
      </c>
      <c r="BB36" s="39" t="s">
        <v>99</v>
      </c>
      <c r="BC36" s="39" t="s">
        <v>99</v>
      </c>
      <c r="BD36" s="39" t="s">
        <v>99</v>
      </c>
      <c r="BE36" s="39" t="s">
        <v>99</v>
      </c>
      <c r="BF36" s="39" t="s">
        <v>99</v>
      </c>
      <c r="BG36" s="39" t="s">
        <v>99</v>
      </c>
      <c r="BH36" s="39" t="s">
        <v>99</v>
      </c>
      <c r="BI36" s="39" t="s">
        <v>99</v>
      </c>
      <c r="BJ36" s="39" t="s">
        <v>99</v>
      </c>
      <c r="BK36" s="39" t="s">
        <v>99</v>
      </c>
      <c r="BL36" s="39" t="s">
        <v>99</v>
      </c>
      <c r="BM36" s="39" t="s">
        <v>99</v>
      </c>
      <c r="BN36" s="30" t="s">
        <v>100</v>
      </c>
      <c r="BO36" s="39" t="s">
        <v>99</v>
      </c>
      <c r="BP36" s="35">
        <f>IFERROR(__xludf.DUMMYFUNCTION("IFERROR(
  INDEX(
    FILTER(X36:BK36, ISNUMBER(X36:BK36)),
    COUNTA(FILTER(X36:BK36, ISNUMBER(X36:BK36)))
  ),
  BK36
)"),1.0)</f>
        <v>1</v>
      </c>
    </row>
    <row r="37">
      <c r="A37" s="27">
        <v>24.0</v>
      </c>
      <c r="B37" s="28" t="s">
        <v>69</v>
      </c>
      <c r="C37" s="28">
        <v>1112.0</v>
      </c>
      <c r="D37" s="28" t="s">
        <v>188</v>
      </c>
      <c r="E37" s="28">
        <v>1129.0</v>
      </c>
      <c r="F37" s="29" t="str">
        <f>IFERROR(VLOOKUP(M37:M110,'R22 RELATÓRIO ACC'!B:F,5,FALSE),"NOT PUBLISHED")</f>
        <v>V27</v>
      </c>
      <c r="G37" s="29" t="str">
        <f>IFERROR(VLOOKUP(M37:M108,'R22 RELATÓRIO ACC'!B:P,15,FALSE),"NOT PUBLISHED")</f>
        <v>08/04/2026</v>
      </c>
      <c r="H37" s="29" t="str">
        <f>IFERROR(VLOOKUP(N37:N110,'RELATÓRIO ACC'!B:F,5,FALSE),"NOT PUBLISHED")</f>
        <v>V2</v>
      </c>
      <c r="I37" s="29" t="str">
        <f>IFERROR(VLOOKUP(N37:N108,'RELATÓRIO ACC'!B:P,15,FALSE),"NOT PUBLISHED")</f>
        <v>23/06/2026</v>
      </c>
      <c r="J37" s="29" t="s">
        <v>225</v>
      </c>
      <c r="K37" s="29" t="s">
        <v>226</v>
      </c>
      <c r="L37" s="30" t="s">
        <v>123</v>
      </c>
      <c r="M37" s="31" t="s">
        <v>227</v>
      </c>
      <c r="N37" s="31" t="s">
        <v>228</v>
      </c>
      <c r="O37" s="30" t="s">
        <v>229</v>
      </c>
      <c r="P37" s="30" t="b">
        <v>0</v>
      </c>
      <c r="Q37" s="30" t="s">
        <v>76</v>
      </c>
      <c r="R37" s="30" t="s">
        <v>127</v>
      </c>
      <c r="S37" s="30" t="s">
        <v>128</v>
      </c>
      <c r="T37" s="30" t="s">
        <v>128</v>
      </c>
      <c r="U37" s="30" t="s">
        <v>145</v>
      </c>
      <c r="V37" s="29">
        <v>45944.0</v>
      </c>
      <c r="W37" s="29">
        <v>45944.0</v>
      </c>
      <c r="X37" s="30" t="s">
        <v>78</v>
      </c>
      <c r="Y37" s="32">
        <v>0.5</v>
      </c>
      <c r="Z37" s="32">
        <v>0.44</v>
      </c>
      <c r="AA37" s="32">
        <v>0.5</v>
      </c>
      <c r="AB37" s="33" t="s">
        <v>79</v>
      </c>
      <c r="AC37" s="32">
        <v>0.65</v>
      </c>
      <c r="AD37" s="32">
        <v>0.71</v>
      </c>
      <c r="AE37" s="32">
        <v>0.71</v>
      </c>
      <c r="AF37" s="33" t="s">
        <v>79</v>
      </c>
      <c r="AG37" s="33" t="s">
        <v>79</v>
      </c>
      <c r="AH37" s="32">
        <v>0.71</v>
      </c>
      <c r="AI37" s="32">
        <v>0.82</v>
      </c>
      <c r="AJ37" s="32">
        <v>0.82</v>
      </c>
      <c r="AK37" s="34" t="s">
        <v>79</v>
      </c>
      <c r="AL37" s="32">
        <v>0.82</v>
      </c>
      <c r="AM37" s="34" t="s">
        <v>79</v>
      </c>
      <c r="AN37" s="35">
        <v>0.82</v>
      </c>
      <c r="AO37" s="35">
        <v>0.82</v>
      </c>
      <c r="AP37" s="35">
        <v>0.82</v>
      </c>
      <c r="AQ37" s="34" t="s">
        <v>79</v>
      </c>
      <c r="AR37" s="34" t="s">
        <v>81</v>
      </c>
      <c r="AS37" s="35">
        <v>0.94</v>
      </c>
      <c r="AT37" s="34" t="s">
        <v>79</v>
      </c>
      <c r="AU37" s="35">
        <v>0.94</v>
      </c>
      <c r="AV37" s="34" t="s">
        <v>79</v>
      </c>
      <c r="AW37" s="34" t="s">
        <v>79</v>
      </c>
      <c r="AX37" s="34" t="s">
        <v>80</v>
      </c>
      <c r="AY37" s="35">
        <v>0.94</v>
      </c>
      <c r="AZ37" s="35">
        <v>1.0</v>
      </c>
      <c r="BA37" s="39" t="s">
        <v>99</v>
      </c>
      <c r="BB37" s="39" t="s">
        <v>99</v>
      </c>
      <c r="BC37" s="39" t="s">
        <v>99</v>
      </c>
      <c r="BD37" s="39" t="s">
        <v>99</v>
      </c>
      <c r="BE37" s="39" t="s">
        <v>99</v>
      </c>
      <c r="BF37" s="39" t="s">
        <v>99</v>
      </c>
      <c r="BG37" s="39" t="s">
        <v>99</v>
      </c>
      <c r="BH37" s="39" t="s">
        <v>99</v>
      </c>
      <c r="BI37" s="39" t="s">
        <v>99</v>
      </c>
      <c r="BJ37" s="39" t="s">
        <v>99</v>
      </c>
      <c r="BK37" s="39" t="s">
        <v>99</v>
      </c>
      <c r="BL37" s="39" t="s">
        <v>99</v>
      </c>
      <c r="BM37" s="39" t="s">
        <v>99</v>
      </c>
      <c r="BN37" s="30" t="s">
        <v>100</v>
      </c>
      <c r="BO37" s="39" t="s">
        <v>99</v>
      </c>
      <c r="BP37" s="35">
        <f>IFERROR(__xludf.DUMMYFUNCTION("IFERROR(
  INDEX(
    FILTER(X37:BK37, ISNUMBER(X37:BK37)),
    COUNTA(FILTER(X37:BK37, ISNUMBER(X37:BK37)))
  ),
  BK37
)"),1.0)</f>
        <v>1</v>
      </c>
    </row>
    <row r="38">
      <c r="A38" s="27">
        <v>25.0</v>
      </c>
      <c r="B38" s="28" t="s">
        <v>69</v>
      </c>
      <c r="C38" s="28">
        <v>1112.0</v>
      </c>
      <c r="D38" s="28" t="s">
        <v>69</v>
      </c>
      <c r="E38" s="28">
        <v>1112.0</v>
      </c>
      <c r="F38" s="29" t="str">
        <f>IFERROR(VLOOKUP(M38:M111,'R22 RELATÓRIO ACC'!B:F,5,FALSE),"NOT PUBLISHED")</f>
        <v>V14</v>
      </c>
      <c r="G38" s="29" t="str">
        <f>IFERROR(VLOOKUP(M38:M109,'R22 RELATÓRIO ACC'!B:P,15,FALSE),"NOT PUBLISHED")</f>
        <v>03/03/2026</v>
      </c>
      <c r="H38" s="29" t="str">
        <f>IFERROR(VLOOKUP(N38:N111,'RELATÓRIO ACC'!B:F,5,FALSE),"NOT PUBLISHED")</f>
        <v>V4</v>
      </c>
      <c r="I38" s="29" t="str">
        <f>IFERROR(VLOOKUP(N38:N109,'RELATÓRIO ACC'!B:P,15,FALSE),"NOT PUBLISHED")</f>
        <v>13/07/2026</v>
      </c>
      <c r="J38" s="29">
        <v>45895.0</v>
      </c>
      <c r="K38" s="30" t="s">
        <v>131</v>
      </c>
      <c r="L38" s="30" t="s">
        <v>123</v>
      </c>
      <c r="M38" s="31" t="s">
        <v>230</v>
      </c>
      <c r="N38" s="31" t="s">
        <v>231</v>
      </c>
      <c r="O38" s="30" t="s">
        <v>232</v>
      </c>
      <c r="P38" s="30" t="b">
        <v>0</v>
      </c>
      <c r="Q38" s="30" t="s">
        <v>153</v>
      </c>
      <c r="R38" s="30" t="s">
        <v>127</v>
      </c>
      <c r="S38" s="30" t="s">
        <v>128</v>
      </c>
      <c r="T38" s="30" t="s">
        <v>128</v>
      </c>
      <c r="U38" s="30" t="s">
        <v>187</v>
      </c>
      <c r="V38" s="29">
        <v>45895.0</v>
      </c>
      <c r="W38" s="29">
        <v>45895.0</v>
      </c>
      <c r="X38" s="30" t="s">
        <v>78</v>
      </c>
      <c r="Y38" s="32">
        <v>0.88</v>
      </c>
      <c r="Z38" s="32">
        <v>0.69</v>
      </c>
      <c r="AA38" s="33" t="s">
        <v>79</v>
      </c>
      <c r="AB38" s="33" t="s">
        <v>79</v>
      </c>
      <c r="AC38" s="33" t="s">
        <v>79</v>
      </c>
      <c r="AD38" s="32">
        <v>0.75</v>
      </c>
      <c r="AE38" s="32">
        <v>1.0</v>
      </c>
      <c r="AF38" s="32">
        <v>1.0</v>
      </c>
      <c r="AG38" s="32">
        <v>1.0</v>
      </c>
      <c r="AH38" s="32">
        <v>1.0</v>
      </c>
      <c r="AI38" s="32">
        <v>1.0</v>
      </c>
      <c r="AJ38" s="32">
        <v>1.0</v>
      </c>
      <c r="AK38" s="32">
        <v>1.0</v>
      </c>
      <c r="AL38" s="32">
        <v>1.0</v>
      </c>
      <c r="AM38" s="32">
        <v>1.0</v>
      </c>
      <c r="AN38" s="32">
        <v>1.0</v>
      </c>
      <c r="AO38" s="32">
        <v>1.0</v>
      </c>
      <c r="AP38" s="32">
        <v>1.0</v>
      </c>
      <c r="AQ38" s="32">
        <v>1.0</v>
      </c>
      <c r="AR38" s="32">
        <v>1.0</v>
      </c>
      <c r="AS38" s="32">
        <v>1.0</v>
      </c>
      <c r="AT38" s="32">
        <v>1.0</v>
      </c>
      <c r="AU38" s="32">
        <v>1.0</v>
      </c>
      <c r="AV38" s="32">
        <v>1.0</v>
      </c>
      <c r="AW38" s="32">
        <v>1.0</v>
      </c>
      <c r="AX38" s="32">
        <v>1.0</v>
      </c>
      <c r="AY38" s="32">
        <v>1.0</v>
      </c>
      <c r="AZ38" s="32">
        <v>1.0</v>
      </c>
      <c r="BA38" s="39" t="s">
        <v>99</v>
      </c>
      <c r="BB38" s="39" t="s">
        <v>99</v>
      </c>
      <c r="BC38" s="39" t="s">
        <v>99</v>
      </c>
      <c r="BD38" s="39" t="s">
        <v>99</v>
      </c>
      <c r="BE38" s="39" t="s">
        <v>99</v>
      </c>
      <c r="BF38" s="39" t="s">
        <v>99</v>
      </c>
      <c r="BG38" s="39" t="s">
        <v>99</v>
      </c>
      <c r="BH38" s="39" t="s">
        <v>99</v>
      </c>
      <c r="BI38" s="39" t="s">
        <v>99</v>
      </c>
      <c r="BJ38" s="39" t="s">
        <v>99</v>
      </c>
      <c r="BK38" s="39" t="s">
        <v>99</v>
      </c>
      <c r="BL38" s="39" t="s">
        <v>99</v>
      </c>
      <c r="BM38" s="39" t="s">
        <v>99</v>
      </c>
      <c r="BN38" s="47" t="s">
        <v>100</v>
      </c>
      <c r="BO38" s="39" t="s">
        <v>99</v>
      </c>
      <c r="BP38" s="35">
        <f>IFERROR(__xludf.DUMMYFUNCTION("IFERROR(
  INDEX(
    FILTER(X38:BK38, ISNUMBER(X38:BK38)),
    COUNTA(FILTER(X38:BK38, ISNUMBER(X38:BK38)))
  ),
  BK38
)"),1.0)</f>
        <v>1</v>
      </c>
    </row>
    <row r="39">
      <c r="A39" s="27">
        <v>26.0</v>
      </c>
      <c r="B39" s="28" t="s">
        <v>69</v>
      </c>
      <c r="C39" s="28">
        <v>1112.0</v>
      </c>
      <c r="D39" s="28" t="s">
        <v>69</v>
      </c>
      <c r="E39" s="28">
        <v>1112.0</v>
      </c>
      <c r="F39" s="29" t="str">
        <f>IFERROR(VLOOKUP(M39:M112,'R22 RELATÓRIO ACC'!B:F,5,FALSE),"NOT PUBLISHED")</f>
        <v>V24</v>
      </c>
      <c r="G39" s="29" t="str">
        <f>IFERROR(VLOOKUP(M39:M110,'R22 RELATÓRIO ACC'!B:P,15,FALSE),"NOT PUBLISHED")</f>
        <v>15/05/2026</v>
      </c>
      <c r="H39" s="29" t="str">
        <f>IFERROR(VLOOKUP(N39:N112,'RELATÓRIO ACC'!B:F,5,FALSE),"NOT PUBLISHED")</f>
        <v>V2</v>
      </c>
      <c r="I39" s="29" t="str">
        <f>IFERROR(VLOOKUP(N39:N110,'RELATÓRIO ACC'!B:P,15,FALSE),"NOT PUBLISHED")</f>
        <v>06/07/2026</v>
      </c>
      <c r="J39" s="29" t="s">
        <v>233</v>
      </c>
      <c r="K39" s="29" t="s">
        <v>234</v>
      </c>
      <c r="L39" s="30" t="s">
        <v>72</v>
      </c>
      <c r="M39" s="31" t="s">
        <v>235</v>
      </c>
      <c r="N39" s="31" t="s">
        <v>236</v>
      </c>
      <c r="O39" s="30" t="s">
        <v>237</v>
      </c>
      <c r="P39" s="30" t="b">
        <v>0</v>
      </c>
      <c r="Q39" s="30" t="s">
        <v>76</v>
      </c>
      <c r="R39" s="30" t="s">
        <v>77</v>
      </c>
      <c r="S39" s="30"/>
      <c r="T39" s="30"/>
      <c r="U39" s="30"/>
      <c r="V39" s="29"/>
      <c r="W39" s="29">
        <v>45876.0</v>
      </c>
      <c r="X39" s="30" t="s">
        <v>78</v>
      </c>
      <c r="Y39" s="30" t="s">
        <v>78</v>
      </c>
      <c r="Z39" s="32">
        <v>0.81</v>
      </c>
      <c r="AA39" s="33" t="s">
        <v>79</v>
      </c>
      <c r="AB39" s="56">
        <v>0.53</v>
      </c>
      <c r="AC39" s="32">
        <v>0.76</v>
      </c>
      <c r="AD39" s="32">
        <v>0.76</v>
      </c>
      <c r="AE39" s="33" t="s">
        <v>79</v>
      </c>
      <c r="AF39" s="33" t="s">
        <v>79</v>
      </c>
      <c r="AG39" s="34" t="s">
        <v>79</v>
      </c>
      <c r="AH39" s="33" t="s">
        <v>79</v>
      </c>
      <c r="AI39" s="34" t="s">
        <v>79</v>
      </c>
      <c r="AJ39" s="34" t="s">
        <v>79</v>
      </c>
      <c r="AK39" s="34" t="s">
        <v>79</v>
      </c>
      <c r="AL39" s="32">
        <v>0.88</v>
      </c>
      <c r="AM39" s="34" t="s">
        <v>79</v>
      </c>
      <c r="AN39" s="35">
        <v>0.88</v>
      </c>
      <c r="AO39" s="35">
        <v>0.88</v>
      </c>
      <c r="AP39" s="34" t="s">
        <v>79</v>
      </c>
      <c r="AQ39" s="34" t="s">
        <v>79</v>
      </c>
      <c r="AR39" s="34" t="s">
        <v>79</v>
      </c>
      <c r="AS39" s="35">
        <v>0.94</v>
      </c>
      <c r="AT39" s="34" t="s">
        <v>79</v>
      </c>
      <c r="AU39" s="35">
        <v>0.88</v>
      </c>
      <c r="AV39" s="34" t="s">
        <v>79</v>
      </c>
      <c r="AW39" s="34" t="s">
        <v>80</v>
      </c>
      <c r="AX39" s="35">
        <v>0.76</v>
      </c>
      <c r="AY39" s="34" t="s">
        <v>79</v>
      </c>
      <c r="AZ39" s="35">
        <v>0.82</v>
      </c>
      <c r="BA39" s="35">
        <v>0.88</v>
      </c>
      <c r="BB39" s="30" t="s">
        <v>79</v>
      </c>
      <c r="BC39" s="35">
        <v>1.0</v>
      </c>
      <c r="BD39" s="39" t="s">
        <v>99</v>
      </c>
      <c r="BE39" s="39" t="s">
        <v>99</v>
      </c>
      <c r="BF39" s="39" t="s">
        <v>99</v>
      </c>
      <c r="BG39" s="39" t="s">
        <v>99</v>
      </c>
      <c r="BH39" s="39" t="s">
        <v>99</v>
      </c>
      <c r="BI39" s="39" t="s">
        <v>99</v>
      </c>
      <c r="BJ39" s="39" t="s">
        <v>99</v>
      </c>
      <c r="BK39" s="39" t="s">
        <v>99</v>
      </c>
      <c r="BL39" s="39" t="s">
        <v>99</v>
      </c>
      <c r="BM39" s="39" t="s">
        <v>99</v>
      </c>
      <c r="BN39" s="30" t="s">
        <v>100</v>
      </c>
      <c r="BO39" s="39" t="s">
        <v>99</v>
      </c>
      <c r="BP39" s="35">
        <f>IFERROR(__xludf.DUMMYFUNCTION("IFERROR(
  INDEX(
    FILTER(X39:BK39, ISNUMBER(X39:BK39)),
    COUNTA(FILTER(X39:BK39, ISNUMBER(X39:BK39)))
  ),
  BK39
)"),1.0)</f>
        <v>1</v>
      </c>
    </row>
    <row r="40">
      <c r="A40" s="27">
        <v>30.0</v>
      </c>
      <c r="B40" s="57" t="s">
        <v>238</v>
      </c>
      <c r="C40" s="57">
        <v>1118.0</v>
      </c>
      <c r="D40" s="57" t="s">
        <v>238</v>
      </c>
      <c r="E40" s="57">
        <v>1118.0</v>
      </c>
      <c r="F40" s="29" t="str">
        <f>IFERROR(VLOOKUP(M40:M113,'R22 RELATÓRIO ACC'!B:F,5,FALSE),"NOT PUBLISHED")</f>
        <v>V15</v>
      </c>
      <c r="G40" s="29" t="str">
        <f>IFERROR(VLOOKUP(M40:M111,'R22 RELATÓRIO ACC'!B:P,15,FALSE),"NOT PUBLISHED")</f>
        <v>15/04/2026</v>
      </c>
      <c r="H40" s="29" t="str">
        <f>IFERROR(VLOOKUP(N40:N113,'RELATÓRIO ACC'!B:F,5,FALSE),"NOT PUBLISHED")</f>
        <v>V2</v>
      </c>
      <c r="I40" s="29" t="str">
        <f>IFERROR(VLOOKUP(N40:N111,'RELATÓRIO ACC'!B:P,15,FALSE),"NOT PUBLISHED")</f>
        <v>02/06/2026</v>
      </c>
      <c r="J40" s="29">
        <v>45910.0</v>
      </c>
      <c r="K40" s="30" t="s">
        <v>136</v>
      </c>
      <c r="L40" s="30" t="s">
        <v>123</v>
      </c>
      <c r="M40" s="31" t="s">
        <v>239</v>
      </c>
      <c r="N40" s="31" t="s">
        <v>240</v>
      </c>
      <c r="O40" s="30" t="s">
        <v>241</v>
      </c>
      <c r="P40" s="30" t="b">
        <v>0</v>
      </c>
      <c r="Q40" s="30" t="s">
        <v>76</v>
      </c>
      <c r="R40" s="30" t="s">
        <v>127</v>
      </c>
      <c r="S40" s="30" t="s">
        <v>128</v>
      </c>
      <c r="T40" s="30" t="s">
        <v>128</v>
      </c>
      <c r="U40" s="30" t="s">
        <v>129</v>
      </c>
      <c r="V40" s="29">
        <v>45911.0</v>
      </c>
      <c r="W40" s="29">
        <v>45911.0</v>
      </c>
      <c r="X40" s="30" t="s">
        <v>78</v>
      </c>
      <c r="Y40" s="30" t="s">
        <v>78</v>
      </c>
      <c r="Z40" s="30" t="s">
        <v>78</v>
      </c>
      <c r="AA40" s="30" t="s">
        <v>78</v>
      </c>
      <c r="AB40" s="30" t="s">
        <v>78</v>
      </c>
      <c r="AC40" s="32">
        <v>0.65</v>
      </c>
      <c r="AD40" s="33" t="s">
        <v>79</v>
      </c>
      <c r="AE40" s="32">
        <v>1.0</v>
      </c>
      <c r="AF40" s="32">
        <v>1.0</v>
      </c>
      <c r="AG40" s="32">
        <v>1.0</v>
      </c>
      <c r="AH40" s="32">
        <v>1.0</v>
      </c>
      <c r="AI40" s="32">
        <v>1.0</v>
      </c>
      <c r="AJ40" s="32">
        <v>1.0</v>
      </c>
      <c r="AK40" s="32">
        <v>1.0</v>
      </c>
      <c r="AL40" s="32">
        <v>1.0</v>
      </c>
      <c r="AM40" s="32">
        <v>1.0</v>
      </c>
      <c r="AN40" s="32">
        <v>1.0</v>
      </c>
      <c r="AO40" s="32">
        <v>1.0</v>
      </c>
      <c r="AP40" s="32">
        <v>1.0</v>
      </c>
      <c r="AQ40" s="32">
        <v>1.0</v>
      </c>
      <c r="AR40" s="32">
        <v>1.0</v>
      </c>
      <c r="AS40" s="32">
        <v>1.0</v>
      </c>
      <c r="AT40" s="32">
        <v>1.0</v>
      </c>
      <c r="AU40" s="32">
        <v>1.0</v>
      </c>
      <c r="AV40" s="32">
        <v>1.0</v>
      </c>
      <c r="AW40" s="32">
        <v>1.0</v>
      </c>
      <c r="AX40" s="32">
        <v>1.0</v>
      </c>
      <c r="AY40" s="32">
        <v>1.0</v>
      </c>
      <c r="AZ40" s="32">
        <v>1.0</v>
      </c>
      <c r="BA40" s="39" t="s">
        <v>99</v>
      </c>
      <c r="BB40" s="39" t="s">
        <v>99</v>
      </c>
      <c r="BC40" s="39" t="s">
        <v>99</v>
      </c>
      <c r="BD40" s="39" t="s">
        <v>99</v>
      </c>
      <c r="BE40" s="39" t="s">
        <v>99</v>
      </c>
      <c r="BF40" s="39" t="s">
        <v>99</v>
      </c>
      <c r="BG40" s="39" t="s">
        <v>99</v>
      </c>
      <c r="BH40" s="39" t="s">
        <v>99</v>
      </c>
      <c r="BI40" s="39" t="s">
        <v>99</v>
      </c>
      <c r="BJ40" s="39" t="s">
        <v>99</v>
      </c>
      <c r="BK40" s="39" t="s">
        <v>99</v>
      </c>
      <c r="BL40" s="39" t="s">
        <v>99</v>
      </c>
      <c r="BM40" s="39" t="s">
        <v>99</v>
      </c>
      <c r="BN40" s="47" t="s">
        <v>100</v>
      </c>
      <c r="BO40" s="39" t="s">
        <v>99</v>
      </c>
      <c r="BP40" s="35">
        <f>IFERROR(__xludf.DUMMYFUNCTION("IFERROR(
  INDEX(
    FILTER(X40:BK40, ISNUMBER(X40:BK40)),
    COUNTA(FILTER(X40:BK40, ISNUMBER(X40:BK40)))
  ),
  BK40
)"),1.0)</f>
        <v>1</v>
      </c>
    </row>
    <row r="41">
      <c r="A41" s="27">
        <v>31.0</v>
      </c>
      <c r="B41" s="58" t="s">
        <v>242</v>
      </c>
      <c r="C41" s="58">
        <v>1114.0</v>
      </c>
      <c r="D41" s="58" t="s">
        <v>242</v>
      </c>
      <c r="E41" s="58">
        <v>1114.0</v>
      </c>
      <c r="F41" s="29" t="str">
        <f>IFERROR(VLOOKUP(M41:M114,'R22 RELATÓRIO ACC'!B:F,5,FALSE),"NOT PUBLISHED")</f>
        <v>V20</v>
      </c>
      <c r="G41" s="29" t="str">
        <f>IFERROR(VLOOKUP(M41:M112,'R22 RELATÓRIO ACC'!B:P,15,FALSE),"NOT PUBLISHED")</f>
        <v>05/05/2026</v>
      </c>
      <c r="H41" s="29" t="str">
        <f>IFERROR(VLOOKUP(N41:N114,'RELATÓRIO ACC'!B:F,5,FALSE),"NOT PUBLISHED")</f>
        <v>V2</v>
      </c>
      <c r="I41" s="29" t="str">
        <f>IFERROR(VLOOKUP(N41:N112,'RELATÓRIO ACC'!B:P,15,FALSE),"NOT PUBLISHED")</f>
        <v>12/07/2026</v>
      </c>
      <c r="J41" s="29">
        <v>45869.0</v>
      </c>
      <c r="K41" s="30" t="s">
        <v>243</v>
      </c>
      <c r="L41" s="30" t="s">
        <v>123</v>
      </c>
      <c r="M41" s="31" t="s">
        <v>244</v>
      </c>
      <c r="N41" s="31" t="s">
        <v>245</v>
      </c>
      <c r="O41" s="30" t="s">
        <v>246</v>
      </c>
      <c r="P41" s="30" t="b">
        <v>0</v>
      </c>
      <c r="Q41" s="30" t="s">
        <v>153</v>
      </c>
      <c r="R41" s="30" t="s">
        <v>77</v>
      </c>
      <c r="S41" s="30"/>
      <c r="T41" s="30"/>
      <c r="U41" s="30"/>
      <c r="V41" s="29"/>
      <c r="W41" s="29">
        <v>45875.0</v>
      </c>
      <c r="X41" s="30" t="s">
        <v>78</v>
      </c>
      <c r="Y41" s="30" t="s">
        <v>78</v>
      </c>
      <c r="Z41" s="30" t="s">
        <v>78</v>
      </c>
      <c r="AA41" s="30" t="s">
        <v>78</v>
      </c>
      <c r="AB41" s="32">
        <v>0.81</v>
      </c>
      <c r="AC41" s="32">
        <v>0.76</v>
      </c>
      <c r="AD41" s="32">
        <v>1.0</v>
      </c>
      <c r="AE41" s="32">
        <v>1.0</v>
      </c>
      <c r="AF41" s="32">
        <v>1.0</v>
      </c>
      <c r="AG41" s="32">
        <v>1.0</v>
      </c>
      <c r="AH41" s="32">
        <v>1.0</v>
      </c>
      <c r="AI41" s="32">
        <v>1.0</v>
      </c>
      <c r="AJ41" s="32">
        <v>1.0</v>
      </c>
      <c r="AK41" s="32">
        <v>1.0</v>
      </c>
      <c r="AL41" s="32">
        <v>1.0</v>
      </c>
      <c r="AM41" s="32">
        <v>1.0</v>
      </c>
      <c r="AN41" s="32">
        <v>1.0</v>
      </c>
      <c r="AO41" s="32">
        <v>1.0</v>
      </c>
      <c r="AP41" s="32">
        <v>1.0</v>
      </c>
      <c r="AQ41" s="32">
        <v>1.0</v>
      </c>
      <c r="AR41" s="32">
        <v>1.0</v>
      </c>
      <c r="AS41" s="32">
        <v>1.0</v>
      </c>
      <c r="AT41" s="32">
        <v>1.0</v>
      </c>
      <c r="AU41" s="32">
        <v>1.0</v>
      </c>
      <c r="AV41" s="32">
        <v>1.0</v>
      </c>
      <c r="AW41" s="32">
        <v>1.0</v>
      </c>
      <c r="AX41" s="32">
        <v>1.0</v>
      </c>
      <c r="AY41" s="32">
        <v>1.0</v>
      </c>
      <c r="AZ41" s="32">
        <v>1.0</v>
      </c>
      <c r="BA41" s="39" t="s">
        <v>99</v>
      </c>
      <c r="BB41" s="39" t="s">
        <v>99</v>
      </c>
      <c r="BC41" s="39" t="s">
        <v>99</v>
      </c>
      <c r="BD41" s="39" t="s">
        <v>99</v>
      </c>
      <c r="BE41" s="39" t="s">
        <v>99</v>
      </c>
      <c r="BF41" s="39" t="s">
        <v>99</v>
      </c>
      <c r="BG41" s="39" t="s">
        <v>99</v>
      </c>
      <c r="BH41" s="39" t="s">
        <v>99</v>
      </c>
      <c r="BI41" s="39" t="s">
        <v>99</v>
      </c>
      <c r="BJ41" s="39" t="s">
        <v>99</v>
      </c>
      <c r="BK41" s="39" t="s">
        <v>99</v>
      </c>
      <c r="BL41" s="39" t="s">
        <v>99</v>
      </c>
      <c r="BM41" s="39" t="s">
        <v>99</v>
      </c>
      <c r="BN41" s="47" t="s">
        <v>100</v>
      </c>
      <c r="BO41" s="39" t="s">
        <v>99</v>
      </c>
      <c r="BP41" s="35">
        <f>IFERROR(__xludf.DUMMYFUNCTION("IFERROR(
  INDEX(
    FILTER(X41:BK41, ISNUMBER(X41:BK41)),
    COUNTA(FILTER(X41:BK41, ISNUMBER(X41:BK41)))
  ),
  BK41
)"),1.0)</f>
        <v>1</v>
      </c>
    </row>
    <row r="42">
      <c r="A42" s="27">
        <v>32.0</v>
      </c>
      <c r="B42" s="58" t="s">
        <v>242</v>
      </c>
      <c r="C42" s="58">
        <v>1114.0</v>
      </c>
      <c r="D42" s="58" t="s">
        <v>242</v>
      </c>
      <c r="E42" s="58">
        <v>1114.0</v>
      </c>
      <c r="F42" s="29" t="str">
        <f>IFERROR(VLOOKUP(M42:M115,'R22 RELATÓRIO ACC'!B:F,5,FALSE),"NOT PUBLISHED")</f>
        <v>V14</v>
      </c>
      <c r="G42" s="29" t="str">
        <f>IFERROR(VLOOKUP(M42:M113,'R22 RELATÓRIO ACC'!B:P,15,FALSE),"NOT PUBLISHED")</f>
        <v>03/02/2026</v>
      </c>
      <c r="H42" s="29" t="str">
        <f>IFERROR(VLOOKUP(N42:N115,'RELATÓRIO ACC'!B:F,5,FALSE),"NOT PUBLISHED")</f>
        <v>V1</v>
      </c>
      <c r="I42" s="29" t="str">
        <f>IFERROR(VLOOKUP(N42:N113,'RELATÓRIO ACC'!B:P,15,FALSE),"NOT PUBLISHED")</f>
        <v>15/05/2026</v>
      </c>
      <c r="J42" s="29">
        <v>45896.0</v>
      </c>
      <c r="K42" s="30" t="s">
        <v>243</v>
      </c>
      <c r="L42" s="30" t="s">
        <v>72</v>
      </c>
      <c r="M42" s="31" t="s">
        <v>247</v>
      </c>
      <c r="N42" s="31" t="s">
        <v>248</v>
      </c>
      <c r="O42" s="30" t="s">
        <v>249</v>
      </c>
      <c r="P42" s="30" t="b">
        <v>0</v>
      </c>
      <c r="Q42" s="30" t="s">
        <v>153</v>
      </c>
      <c r="R42" s="30" t="s">
        <v>127</v>
      </c>
      <c r="S42" s="30" t="s">
        <v>128</v>
      </c>
      <c r="T42" s="30" t="s">
        <v>128</v>
      </c>
      <c r="U42" s="30" t="s">
        <v>187</v>
      </c>
      <c r="V42" s="29">
        <v>45897.0</v>
      </c>
      <c r="W42" s="29">
        <v>45897.0</v>
      </c>
      <c r="X42" s="30" t="s">
        <v>78</v>
      </c>
      <c r="Y42" s="30" t="s">
        <v>78</v>
      </c>
      <c r="Z42" s="32">
        <v>0.44</v>
      </c>
      <c r="AA42" s="32">
        <v>0.88</v>
      </c>
      <c r="AB42" s="32">
        <v>0.75</v>
      </c>
      <c r="AC42" s="32">
        <v>0.82</v>
      </c>
      <c r="AD42" s="32">
        <v>0.94</v>
      </c>
      <c r="AE42" s="32">
        <v>1.0</v>
      </c>
      <c r="AF42" s="32">
        <v>1.0</v>
      </c>
      <c r="AG42" s="32">
        <v>1.0</v>
      </c>
      <c r="AH42" s="32">
        <v>1.0</v>
      </c>
      <c r="AI42" s="32">
        <v>1.0</v>
      </c>
      <c r="AJ42" s="32">
        <v>1.0</v>
      </c>
      <c r="AK42" s="32">
        <v>1.0</v>
      </c>
      <c r="AL42" s="32">
        <v>1.0</v>
      </c>
      <c r="AM42" s="32">
        <v>1.0</v>
      </c>
      <c r="AN42" s="32">
        <v>1.0</v>
      </c>
      <c r="AO42" s="32">
        <v>1.0</v>
      </c>
      <c r="AP42" s="32">
        <v>1.0</v>
      </c>
      <c r="AQ42" s="32">
        <v>1.0</v>
      </c>
      <c r="AR42" s="32">
        <v>1.0</v>
      </c>
      <c r="AS42" s="32">
        <v>1.0</v>
      </c>
      <c r="AT42" s="32">
        <v>1.0</v>
      </c>
      <c r="AU42" s="32">
        <v>1.0</v>
      </c>
      <c r="AV42" s="32">
        <v>1.0</v>
      </c>
      <c r="AW42" s="32">
        <v>1.0</v>
      </c>
      <c r="AX42" s="32">
        <v>1.0</v>
      </c>
      <c r="AY42" s="32">
        <v>1.0</v>
      </c>
      <c r="AZ42" s="32">
        <v>1.0</v>
      </c>
      <c r="BA42" s="39" t="s">
        <v>99</v>
      </c>
      <c r="BB42" s="39" t="s">
        <v>99</v>
      </c>
      <c r="BC42" s="39" t="s">
        <v>99</v>
      </c>
      <c r="BD42" s="39" t="s">
        <v>99</v>
      </c>
      <c r="BE42" s="39" t="s">
        <v>99</v>
      </c>
      <c r="BF42" s="39" t="s">
        <v>99</v>
      </c>
      <c r="BG42" s="39" t="s">
        <v>99</v>
      </c>
      <c r="BH42" s="39" t="s">
        <v>99</v>
      </c>
      <c r="BI42" s="39" t="s">
        <v>99</v>
      </c>
      <c r="BJ42" s="39" t="s">
        <v>99</v>
      </c>
      <c r="BK42" s="39" t="s">
        <v>99</v>
      </c>
      <c r="BL42" s="39" t="s">
        <v>99</v>
      </c>
      <c r="BM42" s="39" t="s">
        <v>99</v>
      </c>
      <c r="BN42" s="47" t="s">
        <v>100</v>
      </c>
      <c r="BO42" s="39" t="s">
        <v>99</v>
      </c>
      <c r="BP42" s="35">
        <f>IFERROR(__xludf.DUMMYFUNCTION("IFERROR(
  INDEX(
    FILTER(X42:BK42, ISNUMBER(X42:BK42)),
    COUNTA(FILTER(X42:BK42, ISNUMBER(X42:BK42)))
  ),
  BK42
)"),1.0)</f>
        <v>1</v>
      </c>
    </row>
    <row r="43">
      <c r="A43" s="27">
        <v>33.0</v>
      </c>
      <c r="B43" s="58" t="s">
        <v>242</v>
      </c>
      <c r="C43" s="58">
        <v>1114.0</v>
      </c>
      <c r="D43" s="58" t="s">
        <v>242</v>
      </c>
      <c r="E43" s="58">
        <v>1114.0</v>
      </c>
      <c r="F43" s="29" t="str">
        <f>IFERROR(VLOOKUP(M43:M116,'R22 RELATÓRIO ACC'!B:F,5,FALSE),"NOT PUBLISHED")</f>
        <v>V15</v>
      </c>
      <c r="G43" s="29" t="str">
        <f>IFERROR(VLOOKUP(M43:M114,'R22 RELATÓRIO ACC'!B:P,15,FALSE),"NOT PUBLISHED")</f>
        <v>27/04/2026</v>
      </c>
      <c r="H43" s="29" t="str">
        <f>IFERROR(VLOOKUP(N43:N116,'RELATÓRIO ACC'!B:F,5,FALSE),"NOT PUBLISHED")</f>
        <v>V3</v>
      </c>
      <c r="I43" s="29" t="str">
        <f>IFERROR(VLOOKUP(N43:N114,'RELATÓRIO ACC'!B:P,15,FALSE),"NOT PUBLISHED")</f>
        <v>12/07/2026</v>
      </c>
      <c r="J43" s="29">
        <v>45896.0</v>
      </c>
      <c r="K43" s="30" t="s">
        <v>243</v>
      </c>
      <c r="L43" s="30" t="s">
        <v>123</v>
      </c>
      <c r="M43" s="31" t="s">
        <v>250</v>
      </c>
      <c r="N43" s="31" t="s">
        <v>251</v>
      </c>
      <c r="O43" s="30" t="s">
        <v>252</v>
      </c>
      <c r="P43" s="30" t="b">
        <v>0</v>
      </c>
      <c r="Q43" s="30" t="s">
        <v>153</v>
      </c>
      <c r="R43" s="30" t="s">
        <v>127</v>
      </c>
      <c r="S43" s="30" t="s">
        <v>128</v>
      </c>
      <c r="T43" s="30" t="s">
        <v>128</v>
      </c>
      <c r="U43" s="30" t="s">
        <v>187</v>
      </c>
      <c r="V43" s="29">
        <v>45897.0</v>
      </c>
      <c r="W43" s="29">
        <v>45897.0</v>
      </c>
      <c r="X43" s="30" t="s">
        <v>78</v>
      </c>
      <c r="Y43" s="30" t="s">
        <v>78</v>
      </c>
      <c r="Z43" s="32">
        <v>0.56</v>
      </c>
      <c r="AA43" s="32">
        <v>0.88</v>
      </c>
      <c r="AB43" s="32">
        <v>0.88</v>
      </c>
      <c r="AC43" s="32">
        <v>0.94</v>
      </c>
      <c r="AD43" s="32">
        <v>0.94</v>
      </c>
      <c r="AE43" s="32">
        <v>1.0</v>
      </c>
      <c r="AF43" s="32">
        <v>1.0</v>
      </c>
      <c r="AG43" s="32">
        <v>1.0</v>
      </c>
      <c r="AH43" s="32">
        <v>1.0</v>
      </c>
      <c r="AI43" s="32">
        <v>1.0</v>
      </c>
      <c r="AJ43" s="32">
        <v>1.0</v>
      </c>
      <c r="AK43" s="32">
        <v>1.0</v>
      </c>
      <c r="AL43" s="32">
        <v>1.0</v>
      </c>
      <c r="AM43" s="32">
        <v>1.0</v>
      </c>
      <c r="AN43" s="32">
        <v>1.0</v>
      </c>
      <c r="AO43" s="32">
        <v>1.0</v>
      </c>
      <c r="AP43" s="32">
        <v>1.0</v>
      </c>
      <c r="AQ43" s="32">
        <v>1.0</v>
      </c>
      <c r="AR43" s="32">
        <v>1.0</v>
      </c>
      <c r="AS43" s="32">
        <v>1.0</v>
      </c>
      <c r="AT43" s="32">
        <v>1.0</v>
      </c>
      <c r="AU43" s="32">
        <v>1.0</v>
      </c>
      <c r="AV43" s="32">
        <v>1.0</v>
      </c>
      <c r="AW43" s="32">
        <v>1.0</v>
      </c>
      <c r="AX43" s="32">
        <v>1.0</v>
      </c>
      <c r="AY43" s="32">
        <v>1.0</v>
      </c>
      <c r="AZ43" s="32">
        <v>1.0</v>
      </c>
      <c r="BA43" s="39" t="s">
        <v>99</v>
      </c>
      <c r="BB43" s="39" t="s">
        <v>99</v>
      </c>
      <c r="BC43" s="39" t="s">
        <v>99</v>
      </c>
      <c r="BD43" s="39" t="s">
        <v>99</v>
      </c>
      <c r="BE43" s="39" t="s">
        <v>99</v>
      </c>
      <c r="BF43" s="39" t="s">
        <v>99</v>
      </c>
      <c r="BG43" s="39" t="s">
        <v>99</v>
      </c>
      <c r="BH43" s="39" t="s">
        <v>99</v>
      </c>
      <c r="BI43" s="39" t="s">
        <v>99</v>
      </c>
      <c r="BJ43" s="39" t="s">
        <v>99</v>
      </c>
      <c r="BK43" s="39" t="s">
        <v>99</v>
      </c>
      <c r="BL43" s="39" t="s">
        <v>99</v>
      </c>
      <c r="BM43" s="39" t="s">
        <v>99</v>
      </c>
      <c r="BN43" s="47" t="s">
        <v>100</v>
      </c>
      <c r="BO43" s="39" t="s">
        <v>99</v>
      </c>
      <c r="BP43" s="35">
        <f>IFERROR(__xludf.DUMMYFUNCTION("IFERROR(
  INDEX(
    FILTER(X43:BK43, ISNUMBER(X43:BK43)),
    COUNTA(FILTER(X43:BK43, ISNUMBER(X43:BK43)))
  ),
  BK43
)"),1.0)</f>
        <v>1</v>
      </c>
    </row>
    <row r="44">
      <c r="A44" s="27">
        <v>34.0</v>
      </c>
      <c r="B44" s="58" t="s">
        <v>242</v>
      </c>
      <c r="C44" s="58">
        <v>1114.0</v>
      </c>
      <c r="D44" s="58" t="s">
        <v>242</v>
      </c>
      <c r="E44" s="58">
        <v>1114.0</v>
      </c>
      <c r="F44" s="29" t="str">
        <f>IFERROR(VLOOKUP(M44:M117,'R22 RELATÓRIO ACC'!B:F,5,FALSE),"NOT PUBLISHED")</f>
        <v>V11</v>
      </c>
      <c r="G44" s="29" t="str">
        <f>IFERROR(VLOOKUP(M44:M115,'R22 RELATÓRIO ACC'!B:P,15,FALSE),"NOT PUBLISHED")</f>
        <v>03/02/2026</v>
      </c>
      <c r="H44" s="29" t="str">
        <f>IFERROR(VLOOKUP(N44:N117,'RELATÓRIO ACC'!B:F,5,FALSE),"NOT PUBLISHED")</f>
        <v>V1</v>
      </c>
      <c r="I44" s="29" t="str">
        <f>IFERROR(VLOOKUP(N44:N115,'RELATÓRIO ACC'!B:P,15,FALSE),"NOT PUBLISHED")</f>
        <v>15/05/2026</v>
      </c>
      <c r="J44" s="29">
        <v>45896.0</v>
      </c>
      <c r="K44" s="30" t="s">
        <v>253</v>
      </c>
      <c r="L44" s="30" t="s">
        <v>72</v>
      </c>
      <c r="M44" s="31" t="s">
        <v>254</v>
      </c>
      <c r="N44" s="31" t="s">
        <v>255</v>
      </c>
      <c r="O44" s="30" t="s">
        <v>256</v>
      </c>
      <c r="P44" s="30" t="b">
        <v>0</v>
      </c>
      <c r="Q44" s="30" t="s">
        <v>153</v>
      </c>
      <c r="R44" s="30" t="s">
        <v>127</v>
      </c>
      <c r="S44" s="30" t="s">
        <v>128</v>
      </c>
      <c r="T44" s="30" t="s">
        <v>128</v>
      </c>
      <c r="U44" s="30" t="s">
        <v>187</v>
      </c>
      <c r="V44" s="29">
        <v>45897.0</v>
      </c>
      <c r="W44" s="29">
        <v>45897.0</v>
      </c>
      <c r="X44" s="30" t="s">
        <v>78</v>
      </c>
      <c r="Y44" s="30" t="s">
        <v>78</v>
      </c>
      <c r="Z44" s="32">
        <v>0.56</v>
      </c>
      <c r="AA44" s="32">
        <v>0.88</v>
      </c>
      <c r="AB44" s="32">
        <v>0.94</v>
      </c>
      <c r="AC44" s="32">
        <v>0.88</v>
      </c>
      <c r="AD44" s="32">
        <v>0.94</v>
      </c>
      <c r="AE44" s="32">
        <v>1.0</v>
      </c>
      <c r="AF44" s="32">
        <v>1.0</v>
      </c>
      <c r="AG44" s="32">
        <v>1.0</v>
      </c>
      <c r="AH44" s="32">
        <v>1.0</v>
      </c>
      <c r="AI44" s="32">
        <v>1.0</v>
      </c>
      <c r="AJ44" s="32">
        <v>1.0</v>
      </c>
      <c r="AK44" s="32">
        <v>1.0</v>
      </c>
      <c r="AL44" s="32">
        <v>1.0</v>
      </c>
      <c r="AM44" s="32">
        <v>1.0</v>
      </c>
      <c r="AN44" s="32">
        <v>1.0</v>
      </c>
      <c r="AO44" s="32">
        <v>1.0</v>
      </c>
      <c r="AP44" s="32">
        <v>1.0</v>
      </c>
      <c r="AQ44" s="32">
        <v>1.0</v>
      </c>
      <c r="AR44" s="32">
        <v>1.0</v>
      </c>
      <c r="AS44" s="32">
        <v>1.0</v>
      </c>
      <c r="AT44" s="32">
        <v>1.0</v>
      </c>
      <c r="AU44" s="32">
        <v>1.0</v>
      </c>
      <c r="AV44" s="32">
        <v>1.0</v>
      </c>
      <c r="AW44" s="32">
        <v>1.0</v>
      </c>
      <c r="AX44" s="32">
        <v>1.0</v>
      </c>
      <c r="AY44" s="32">
        <v>1.0</v>
      </c>
      <c r="AZ44" s="32">
        <v>1.0</v>
      </c>
      <c r="BA44" s="39" t="s">
        <v>99</v>
      </c>
      <c r="BB44" s="39" t="s">
        <v>99</v>
      </c>
      <c r="BC44" s="39" t="s">
        <v>99</v>
      </c>
      <c r="BD44" s="39" t="s">
        <v>99</v>
      </c>
      <c r="BE44" s="39" t="s">
        <v>99</v>
      </c>
      <c r="BF44" s="39" t="s">
        <v>99</v>
      </c>
      <c r="BG44" s="39" t="s">
        <v>99</v>
      </c>
      <c r="BH44" s="39" t="s">
        <v>99</v>
      </c>
      <c r="BI44" s="39" t="s">
        <v>99</v>
      </c>
      <c r="BJ44" s="39" t="s">
        <v>99</v>
      </c>
      <c r="BK44" s="39" t="s">
        <v>99</v>
      </c>
      <c r="BL44" s="39" t="s">
        <v>99</v>
      </c>
      <c r="BM44" s="39" t="s">
        <v>99</v>
      </c>
      <c r="BN44" s="47" t="s">
        <v>100</v>
      </c>
      <c r="BO44" s="39" t="s">
        <v>99</v>
      </c>
      <c r="BP44" s="35">
        <f>IFERROR(__xludf.DUMMYFUNCTION("IFERROR(
  INDEX(
    FILTER(X44:BK44, ISNUMBER(X44:BK44)),
    COUNTA(FILTER(X44:BK44, ISNUMBER(X44:BK44)))
  ),
  BK44
)"),1.0)</f>
        <v>1</v>
      </c>
    </row>
    <row r="45">
      <c r="A45" s="27">
        <v>35.0</v>
      </c>
      <c r="B45" s="58" t="s">
        <v>242</v>
      </c>
      <c r="C45" s="58">
        <v>1114.0</v>
      </c>
      <c r="D45" s="58" t="s">
        <v>242</v>
      </c>
      <c r="E45" s="58">
        <v>1114.0</v>
      </c>
      <c r="F45" s="29" t="str">
        <f>IFERROR(VLOOKUP(M45:M118,'R22 RELATÓRIO ACC'!B:F,5,FALSE),"NOT PUBLISHED")</f>
        <v>V18</v>
      </c>
      <c r="G45" s="29" t="str">
        <f>IFERROR(VLOOKUP(M45:M116,'R22 RELATÓRIO ACC'!B:P,15,FALSE),"NOT PUBLISHED")</f>
        <v>30/04/2026</v>
      </c>
      <c r="H45" s="29" t="str">
        <f>IFERROR(VLOOKUP(N45:N118,'RELATÓRIO ACC'!B:F,5,FALSE),"NOT PUBLISHED")</f>
        <v>V3</v>
      </c>
      <c r="I45" s="29" t="str">
        <f>IFERROR(VLOOKUP(N45:N116,'RELATÓRIO ACC'!B:P,15,FALSE),"NOT PUBLISHED")</f>
        <v>29/06/2026</v>
      </c>
      <c r="J45" s="29">
        <v>45896.0</v>
      </c>
      <c r="K45" s="30" t="s">
        <v>141</v>
      </c>
      <c r="L45" s="30" t="s">
        <v>123</v>
      </c>
      <c r="M45" s="30" t="s">
        <v>257</v>
      </c>
      <c r="N45" s="30" t="s">
        <v>258</v>
      </c>
      <c r="O45" s="30" t="s">
        <v>259</v>
      </c>
      <c r="P45" s="30" t="b">
        <v>0</v>
      </c>
      <c r="Q45" s="30" t="s">
        <v>153</v>
      </c>
      <c r="R45" s="30" t="s">
        <v>127</v>
      </c>
      <c r="S45" s="30" t="s">
        <v>128</v>
      </c>
      <c r="T45" s="30" t="s">
        <v>128</v>
      </c>
      <c r="U45" s="30" t="s">
        <v>187</v>
      </c>
      <c r="V45" s="29">
        <v>45897.0</v>
      </c>
      <c r="W45" s="29">
        <v>45897.0</v>
      </c>
      <c r="X45" s="30" t="s">
        <v>78</v>
      </c>
      <c r="Y45" s="30" t="s">
        <v>78</v>
      </c>
      <c r="Z45" s="32">
        <v>0.81</v>
      </c>
      <c r="AA45" s="32">
        <v>0.88</v>
      </c>
      <c r="AB45" s="32">
        <v>0.88</v>
      </c>
      <c r="AC45" s="32">
        <v>0.94</v>
      </c>
      <c r="AD45" s="32">
        <v>0.94</v>
      </c>
      <c r="AE45" s="32">
        <v>1.0</v>
      </c>
      <c r="AF45" s="32">
        <v>1.0</v>
      </c>
      <c r="AG45" s="32">
        <v>1.0</v>
      </c>
      <c r="AH45" s="32">
        <v>1.0</v>
      </c>
      <c r="AI45" s="32">
        <v>1.0</v>
      </c>
      <c r="AJ45" s="32">
        <v>1.0</v>
      </c>
      <c r="AK45" s="32">
        <v>1.0</v>
      </c>
      <c r="AL45" s="32">
        <v>1.0</v>
      </c>
      <c r="AM45" s="32">
        <v>1.0</v>
      </c>
      <c r="AN45" s="32">
        <v>1.0</v>
      </c>
      <c r="AO45" s="32">
        <v>1.0</v>
      </c>
      <c r="AP45" s="32">
        <v>1.0</v>
      </c>
      <c r="AQ45" s="32">
        <v>1.0</v>
      </c>
      <c r="AR45" s="32">
        <v>1.0</v>
      </c>
      <c r="AS45" s="32">
        <v>1.0</v>
      </c>
      <c r="AT45" s="32">
        <v>1.0</v>
      </c>
      <c r="AU45" s="32">
        <v>1.0</v>
      </c>
      <c r="AV45" s="32">
        <v>1.0</v>
      </c>
      <c r="AW45" s="32">
        <v>1.0</v>
      </c>
      <c r="AX45" s="32">
        <v>1.0</v>
      </c>
      <c r="AY45" s="32">
        <v>1.0</v>
      </c>
      <c r="AZ45" s="32">
        <v>1.0</v>
      </c>
      <c r="BA45" s="39" t="s">
        <v>99</v>
      </c>
      <c r="BB45" s="39" t="s">
        <v>99</v>
      </c>
      <c r="BC45" s="39" t="s">
        <v>99</v>
      </c>
      <c r="BD45" s="39" t="s">
        <v>99</v>
      </c>
      <c r="BE45" s="39" t="s">
        <v>99</v>
      </c>
      <c r="BF45" s="39" t="s">
        <v>99</v>
      </c>
      <c r="BG45" s="39" t="s">
        <v>99</v>
      </c>
      <c r="BH45" s="39" t="s">
        <v>99</v>
      </c>
      <c r="BI45" s="39" t="s">
        <v>99</v>
      </c>
      <c r="BJ45" s="39" t="s">
        <v>99</v>
      </c>
      <c r="BK45" s="39" t="s">
        <v>99</v>
      </c>
      <c r="BL45" s="39" t="s">
        <v>99</v>
      </c>
      <c r="BM45" s="39" t="s">
        <v>99</v>
      </c>
      <c r="BN45" s="47" t="s">
        <v>100</v>
      </c>
      <c r="BO45" s="39" t="s">
        <v>99</v>
      </c>
      <c r="BP45" s="35">
        <f>IFERROR(__xludf.DUMMYFUNCTION("IFERROR(
  INDEX(
    FILTER(X45:BK45, ISNUMBER(X45:BK45)),
    COUNTA(FILTER(X45:BK45, ISNUMBER(X45:BK45)))
  ),
  BK45
)"),1.0)</f>
        <v>1</v>
      </c>
    </row>
    <row r="46">
      <c r="A46" s="27">
        <v>36.0</v>
      </c>
      <c r="B46" s="58" t="s">
        <v>242</v>
      </c>
      <c r="C46" s="58">
        <v>1114.0</v>
      </c>
      <c r="D46" s="58" t="s">
        <v>242</v>
      </c>
      <c r="E46" s="58">
        <v>1114.0</v>
      </c>
      <c r="F46" s="29" t="str">
        <f>IFERROR(VLOOKUP(M46:M119,'R22 RELATÓRIO ACC'!B:F,5,FALSE),"NOT PUBLISHED")</f>
        <v>V14</v>
      </c>
      <c r="G46" s="29" t="str">
        <f>IFERROR(VLOOKUP(M46:M117,'R22 RELATÓRIO ACC'!B:P,15,FALSE),"NOT PUBLISHED")</f>
        <v>29/04/2026</v>
      </c>
      <c r="H46" s="29" t="str">
        <f>IFERROR(VLOOKUP(N46:N119,'RELATÓRIO ACC'!B:F,5,FALSE),"NOT PUBLISHED")</f>
        <v>V2</v>
      </c>
      <c r="I46" s="29" t="str">
        <f>IFERROR(VLOOKUP(N46:N117,'RELATÓRIO ACC'!B:P,15,FALSE),"NOT PUBLISHED")</f>
        <v>07/07/2026</v>
      </c>
      <c r="J46" s="29">
        <v>45897.0</v>
      </c>
      <c r="K46" s="30" t="s">
        <v>253</v>
      </c>
      <c r="L46" s="30" t="s">
        <v>72</v>
      </c>
      <c r="M46" s="30" t="s">
        <v>260</v>
      </c>
      <c r="N46" s="30" t="s">
        <v>261</v>
      </c>
      <c r="O46" s="30" t="s">
        <v>262</v>
      </c>
      <c r="P46" s="30" t="b">
        <v>0</v>
      </c>
      <c r="Q46" s="30" t="s">
        <v>153</v>
      </c>
      <c r="R46" s="30" t="s">
        <v>127</v>
      </c>
      <c r="S46" s="30" t="s">
        <v>128</v>
      </c>
      <c r="T46" s="30" t="s">
        <v>128</v>
      </c>
      <c r="U46" s="30" t="s">
        <v>187</v>
      </c>
      <c r="V46" s="29">
        <v>45897.0</v>
      </c>
      <c r="W46" s="29">
        <v>45897.0</v>
      </c>
      <c r="X46" s="30" t="s">
        <v>78</v>
      </c>
      <c r="Y46" s="30" t="s">
        <v>78</v>
      </c>
      <c r="Z46" s="32">
        <v>0.69</v>
      </c>
      <c r="AA46" s="32">
        <v>0.88</v>
      </c>
      <c r="AB46" s="32">
        <v>1.0</v>
      </c>
      <c r="AC46" s="32">
        <v>0.94</v>
      </c>
      <c r="AD46" s="32">
        <v>0.94</v>
      </c>
      <c r="AE46" s="32">
        <v>1.0</v>
      </c>
      <c r="AF46" s="32">
        <v>1.0</v>
      </c>
      <c r="AG46" s="32">
        <v>1.0</v>
      </c>
      <c r="AH46" s="32">
        <v>1.0</v>
      </c>
      <c r="AI46" s="32">
        <v>1.0</v>
      </c>
      <c r="AJ46" s="32">
        <v>1.0</v>
      </c>
      <c r="AK46" s="32">
        <v>1.0</v>
      </c>
      <c r="AL46" s="32">
        <v>1.0</v>
      </c>
      <c r="AM46" s="32">
        <v>1.0</v>
      </c>
      <c r="AN46" s="32">
        <v>1.0</v>
      </c>
      <c r="AO46" s="32">
        <v>1.0</v>
      </c>
      <c r="AP46" s="32">
        <v>1.0</v>
      </c>
      <c r="AQ46" s="32">
        <v>1.0</v>
      </c>
      <c r="AR46" s="32">
        <v>1.0</v>
      </c>
      <c r="AS46" s="32">
        <v>1.0</v>
      </c>
      <c r="AT46" s="32">
        <v>1.0</v>
      </c>
      <c r="AU46" s="32">
        <v>1.0</v>
      </c>
      <c r="AV46" s="32">
        <v>1.0</v>
      </c>
      <c r="AW46" s="32">
        <v>1.0</v>
      </c>
      <c r="AX46" s="32">
        <v>1.0</v>
      </c>
      <c r="AY46" s="32">
        <v>1.0</v>
      </c>
      <c r="AZ46" s="32">
        <v>1.0</v>
      </c>
      <c r="BA46" s="39" t="s">
        <v>99</v>
      </c>
      <c r="BB46" s="39" t="s">
        <v>99</v>
      </c>
      <c r="BC46" s="39" t="s">
        <v>99</v>
      </c>
      <c r="BD46" s="39" t="s">
        <v>99</v>
      </c>
      <c r="BE46" s="39" t="s">
        <v>99</v>
      </c>
      <c r="BF46" s="39" t="s">
        <v>99</v>
      </c>
      <c r="BG46" s="39" t="s">
        <v>99</v>
      </c>
      <c r="BH46" s="39" t="s">
        <v>99</v>
      </c>
      <c r="BI46" s="39" t="s">
        <v>99</v>
      </c>
      <c r="BJ46" s="39" t="s">
        <v>99</v>
      </c>
      <c r="BK46" s="39" t="s">
        <v>99</v>
      </c>
      <c r="BL46" s="39" t="s">
        <v>99</v>
      </c>
      <c r="BM46" s="39" t="s">
        <v>99</v>
      </c>
      <c r="BN46" s="47" t="s">
        <v>100</v>
      </c>
      <c r="BO46" s="39" t="s">
        <v>99</v>
      </c>
      <c r="BP46" s="35">
        <f>IFERROR(__xludf.DUMMYFUNCTION("IFERROR(
  INDEX(
    FILTER(X46:BK46, ISNUMBER(X46:BK46)),
    COUNTA(FILTER(X46:BK46, ISNUMBER(X46:BK46)))
  ),
  BK46
)"),1.0)</f>
        <v>1</v>
      </c>
    </row>
    <row r="47">
      <c r="A47" s="27">
        <v>37.0</v>
      </c>
      <c r="B47" s="59" t="s">
        <v>263</v>
      </c>
      <c r="C47" s="59">
        <v>1113.0</v>
      </c>
      <c r="D47" s="59" t="s">
        <v>263</v>
      </c>
      <c r="E47" s="59">
        <v>1113.0</v>
      </c>
      <c r="F47" s="29" t="str">
        <f>IFERROR(VLOOKUP(M47:M120,'R22 RELATÓRIO ACC'!B:F,5,FALSE),"NOT PUBLISHED")</f>
        <v>V28</v>
      </c>
      <c r="G47" s="29" t="str">
        <f>IFERROR(VLOOKUP(M47:M118,'R22 RELATÓRIO ACC'!B:P,15,FALSE),"NOT PUBLISHED")</f>
        <v>16/04/2026</v>
      </c>
      <c r="H47" s="29" t="str">
        <f>IFERROR(VLOOKUP(N47:N120,'RELATÓRIO ACC'!B:F,5,FALSE),"NOT PUBLISHED")</f>
        <v>V4</v>
      </c>
      <c r="I47" s="29" t="str">
        <f>IFERROR(VLOOKUP(N47:N118,'RELATÓRIO ACC'!B:P,15,FALSE),"NOT PUBLISHED")</f>
        <v>26/06/2026</v>
      </c>
      <c r="J47" s="50">
        <v>45898.0</v>
      </c>
      <c r="K47" s="30" t="s">
        <v>180</v>
      </c>
      <c r="L47" s="30" t="s">
        <v>123</v>
      </c>
      <c r="M47" s="31" t="s">
        <v>264</v>
      </c>
      <c r="N47" s="31" t="s">
        <v>265</v>
      </c>
      <c r="O47" s="30" t="s">
        <v>266</v>
      </c>
      <c r="P47" s="30" t="b">
        <v>0</v>
      </c>
      <c r="Q47" s="30" t="s">
        <v>153</v>
      </c>
      <c r="R47" s="30" t="s">
        <v>127</v>
      </c>
      <c r="S47" s="30" t="s">
        <v>128</v>
      </c>
      <c r="T47" s="30" t="s">
        <v>128</v>
      </c>
      <c r="U47" s="30" t="s">
        <v>187</v>
      </c>
      <c r="V47" s="29">
        <v>45898.0</v>
      </c>
      <c r="W47" s="29">
        <v>45898.0</v>
      </c>
      <c r="X47" s="30" t="s">
        <v>78</v>
      </c>
      <c r="Y47" s="30" t="s">
        <v>78</v>
      </c>
      <c r="Z47" s="32">
        <v>0.5</v>
      </c>
      <c r="AA47" s="32">
        <v>0.5</v>
      </c>
      <c r="AB47" s="32">
        <v>0.5</v>
      </c>
      <c r="AC47" s="32">
        <v>0.44</v>
      </c>
      <c r="AD47" s="32">
        <v>0.88</v>
      </c>
      <c r="AE47" s="32">
        <v>1.0</v>
      </c>
      <c r="AF47" s="32">
        <v>1.0</v>
      </c>
      <c r="AG47" s="32">
        <v>1.0</v>
      </c>
      <c r="AH47" s="32">
        <v>1.0</v>
      </c>
      <c r="AI47" s="32">
        <v>1.0</v>
      </c>
      <c r="AJ47" s="32">
        <v>1.0</v>
      </c>
      <c r="AK47" s="32">
        <v>1.0</v>
      </c>
      <c r="AL47" s="32">
        <v>1.0</v>
      </c>
      <c r="AM47" s="32">
        <v>1.0</v>
      </c>
      <c r="AN47" s="32">
        <v>1.0</v>
      </c>
      <c r="AO47" s="32">
        <v>1.0</v>
      </c>
      <c r="AP47" s="32">
        <v>1.0</v>
      </c>
      <c r="AQ47" s="32">
        <v>1.0</v>
      </c>
      <c r="AR47" s="32">
        <v>1.0</v>
      </c>
      <c r="AS47" s="32">
        <v>1.0</v>
      </c>
      <c r="AT47" s="32">
        <v>1.0</v>
      </c>
      <c r="AU47" s="32">
        <v>1.0</v>
      </c>
      <c r="AV47" s="32">
        <v>1.0</v>
      </c>
      <c r="AW47" s="32">
        <v>1.0</v>
      </c>
      <c r="AX47" s="32">
        <v>1.0</v>
      </c>
      <c r="AY47" s="32">
        <v>1.0</v>
      </c>
      <c r="AZ47" s="32">
        <v>1.0</v>
      </c>
      <c r="BA47" s="39" t="s">
        <v>99</v>
      </c>
      <c r="BB47" s="39" t="s">
        <v>99</v>
      </c>
      <c r="BC47" s="39" t="s">
        <v>99</v>
      </c>
      <c r="BD47" s="39" t="s">
        <v>99</v>
      </c>
      <c r="BE47" s="39" t="s">
        <v>99</v>
      </c>
      <c r="BF47" s="39" t="s">
        <v>99</v>
      </c>
      <c r="BG47" s="39" t="s">
        <v>99</v>
      </c>
      <c r="BH47" s="39" t="s">
        <v>99</v>
      </c>
      <c r="BI47" s="39" t="s">
        <v>99</v>
      </c>
      <c r="BJ47" s="39" t="s">
        <v>99</v>
      </c>
      <c r="BK47" s="39" t="s">
        <v>99</v>
      </c>
      <c r="BL47" s="39" t="s">
        <v>99</v>
      </c>
      <c r="BM47" s="39" t="s">
        <v>99</v>
      </c>
      <c r="BN47" s="47" t="s">
        <v>100</v>
      </c>
      <c r="BO47" s="39" t="s">
        <v>99</v>
      </c>
      <c r="BP47" s="35">
        <f>IFERROR(__xludf.DUMMYFUNCTION("IFERROR(
  INDEX(
    FILTER(X47:BK47, ISNUMBER(X47:BK47)),
    COUNTA(FILTER(X47:BK47, ISNUMBER(X47:BK47)))
  ),
  BK47
)"),1.0)</f>
        <v>1</v>
      </c>
    </row>
    <row r="48">
      <c r="A48" s="27">
        <v>38.0</v>
      </c>
      <c r="B48" s="59" t="s">
        <v>263</v>
      </c>
      <c r="C48" s="59">
        <v>1113.0</v>
      </c>
      <c r="D48" s="59" t="s">
        <v>263</v>
      </c>
      <c r="E48" s="59">
        <v>1113.0</v>
      </c>
      <c r="F48" s="29" t="str">
        <f>IFERROR(VLOOKUP(M48:M121,'R22 RELATÓRIO ACC'!B:F,5,FALSE),"NOT PUBLISHED")</f>
        <v>V36</v>
      </c>
      <c r="G48" s="29" t="str">
        <f>IFERROR(VLOOKUP(M48:M119,'R22 RELATÓRIO ACC'!B:P,15,FALSE),"NOT PUBLISHED")</f>
        <v>08/05/2026</v>
      </c>
      <c r="H48" s="29" t="str">
        <f>IFERROR(VLOOKUP(N48:N121,'RELATÓRIO ACC'!B:F,5,FALSE),"NOT PUBLISHED")</f>
        <v>V2</v>
      </c>
      <c r="I48" s="29" t="str">
        <f>IFERROR(VLOOKUP(N48:N119,'RELATÓRIO ACC'!B:P,15,FALSE),"NOT PUBLISHED")</f>
        <v>03/06/2026</v>
      </c>
      <c r="J48" s="29">
        <v>45876.0</v>
      </c>
      <c r="K48" s="30" t="s">
        <v>208</v>
      </c>
      <c r="L48" s="30" t="s">
        <v>123</v>
      </c>
      <c r="M48" s="31" t="s">
        <v>267</v>
      </c>
      <c r="N48" s="31" t="s">
        <v>268</v>
      </c>
      <c r="O48" s="30" t="s">
        <v>269</v>
      </c>
      <c r="P48" s="30" t="b">
        <v>0</v>
      </c>
      <c r="Q48" s="30" t="s">
        <v>153</v>
      </c>
      <c r="R48" s="30" t="s">
        <v>77</v>
      </c>
      <c r="S48" s="30"/>
      <c r="T48" s="30"/>
      <c r="U48" s="30"/>
      <c r="V48" s="29"/>
      <c r="W48" s="29">
        <v>45876.0</v>
      </c>
      <c r="X48" s="30" t="s">
        <v>78</v>
      </c>
      <c r="Y48" s="30" t="s">
        <v>78</v>
      </c>
      <c r="Z48" s="32">
        <v>0.5</v>
      </c>
      <c r="AA48" s="32">
        <v>0.38</v>
      </c>
      <c r="AB48" s="32">
        <v>0.69</v>
      </c>
      <c r="AC48" s="32">
        <v>0.94</v>
      </c>
      <c r="AD48" s="32">
        <v>1.0</v>
      </c>
      <c r="AE48" s="32">
        <v>1.0</v>
      </c>
      <c r="AF48" s="32">
        <v>1.0</v>
      </c>
      <c r="AG48" s="32">
        <v>1.0</v>
      </c>
      <c r="AH48" s="32">
        <v>1.0</v>
      </c>
      <c r="AI48" s="32">
        <v>1.0</v>
      </c>
      <c r="AJ48" s="32">
        <v>1.0</v>
      </c>
      <c r="AK48" s="32">
        <v>1.0</v>
      </c>
      <c r="AL48" s="32">
        <v>1.0</v>
      </c>
      <c r="AM48" s="32">
        <v>1.0</v>
      </c>
      <c r="AN48" s="32">
        <v>1.0</v>
      </c>
      <c r="AO48" s="32">
        <v>1.0</v>
      </c>
      <c r="AP48" s="32">
        <v>1.0</v>
      </c>
      <c r="AQ48" s="32">
        <v>1.0</v>
      </c>
      <c r="AR48" s="32">
        <v>1.0</v>
      </c>
      <c r="AS48" s="32">
        <v>1.0</v>
      </c>
      <c r="AT48" s="32">
        <v>1.0</v>
      </c>
      <c r="AU48" s="32">
        <v>1.0</v>
      </c>
      <c r="AV48" s="32">
        <v>1.0</v>
      </c>
      <c r="AW48" s="32">
        <v>1.0</v>
      </c>
      <c r="AX48" s="32">
        <v>1.0</v>
      </c>
      <c r="AY48" s="32">
        <v>1.0</v>
      </c>
      <c r="AZ48" s="32">
        <v>1.0</v>
      </c>
      <c r="BA48" s="39" t="s">
        <v>99</v>
      </c>
      <c r="BB48" s="39" t="s">
        <v>99</v>
      </c>
      <c r="BC48" s="39" t="s">
        <v>99</v>
      </c>
      <c r="BD48" s="39" t="s">
        <v>99</v>
      </c>
      <c r="BE48" s="39" t="s">
        <v>99</v>
      </c>
      <c r="BF48" s="39" t="s">
        <v>99</v>
      </c>
      <c r="BG48" s="39" t="s">
        <v>99</v>
      </c>
      <c r="BH48" s="39" t="s">
        <v>99</v>
      </c>
      <c r="BI48" s="39" t="s">
        <v>99</v>
      </c>
      <c r="BJ48" s="39" t="s">
        <v>99</v>
      </c>
      <c r="BK48" s="39" t="s">
        <v>99</v>
      </c>
      <c r="BL48" s="39" t="s">
        <v>99</v>
      </c>
      <c r="BM48" s="39" t="s">
        <v>99</v>
      </c>
      <c r="BN48" s="47" t="s">
        <v>100</v>
      </c>
      <c r="BO48" s="39" t="s">
        <v>99</v>
      </c>
      <c r="BP48" s="35">
        <f>IFERROR(__xludf.DUMMYFUNCTION("IFERROR(
  INDEX(
    FILTER(X48:BK48, ISNUMBER(X48:BK48)),
    COUNTA(FILTER(X48:BK48, ISNUMBER(X48:BK48)))
  ),
  BK48
)"),1.0)</f>
        <v>1</v>
      </c>
    </row>
    <row r="49">
      <c r="A49" s="27">
        <v>39.0</v>
      </c>
      <c r="B49" s="59" t="s">
        <v>263</v>
      </c>
      <c r="C49" s="59">
        <v>1113.0</v>
      </c>
      <c r="D49" s="59" t="s">
        <v>263</v>
      </c>
      <c r="E49" s="59"/>
      <c r="F49" s="29" t="str">
        <f>IFERROR(VLOOKUP(M49:M122,'R22 RELATÓRIO ACC'!B:F,5,FALSE),"NOT PUBLISHED")</f>
        <v>V12</v>
      </c>
      <c r="G49" s="29" t="str">
        <f>IFERROR(VLOOKUP(M49:M120,'R22 RELATÓRIO ACC'!B:P,15,FALSE),"NOT PUBLISHED")</f>
        <v>13/05/2026</v>
      </c>
      <c r="H49" s="29" t="str">
        <f>IFERROR(VLOOKUP(N49:N122,'RELATÓRIO ACC'!B:F,5,FALSE),"NOT PUBLISHED")</f>
        <v>V2</v>
      </c>
      <c r="I49" s="29" t="str">
        <f>IFERROR(VLOOKUP(N49:N120,'RELATÓRIO ACC'!B:P,15,FALSE),"NOT PUBLISHED")</f>
        <v>01/06/2026</v>
      </c>
      <c r="J49" s="29">
        <v>45847.0</v>
      </c>
      <c r="K49" s="30" t="s">
        <v>94</v>
      </c>
      <c r="L49" s="30" t="s">
        <v>123</v>
      </c>
      <c r="M49" s="31" t="s">
        <v>270</v>
      </c>
      <c r="N49" s="31" t="s">
        <v>271</v>
      </c>
      <c r="O49" s="30" t="s">
        <v>272</v>
      </c>
      <c r="P49" s="30" t="b">
        <v>0</v>
      </c>
      <c r="Q49" s="30" t="s">
        <v>153</v>
      </c>
      <c r="R49" s="30" t="s">
        <v>154</v>
      </c>
      <c r="S49" s="30"/>
      <c r="T49" s="30"/>
      <c r="U49" s="30"/>
      <c r="V49" s="29"/>
      <c r="W49" s="29">
        <v>45852.0</v>
      </c>
      <c r="X49" s="30" t="s">
        <v>78</v>
      </c>
      <c r="Y49" s="30" t="s">
        <v>78</v>
      </c>
      <c r="Z49" s="30" t="s">
        <v>78</v>
      </c>
      <c r="AA49" s="30" t="s">
        <v>78</v>
      </c>
      <c r="AB49" s="30" t="s">
        <v>78</v>
      </c>
      <c r="AC49" s="32">
        <v>1.0</v>
      </c>
      <c r="AD49" s="32">
        <v>1.0</v>
      </c>
      <c r="AE49" s="32">
        <v>1.0</v>
      </c>
      <c r="AF49" s="32">
        <v>1.0</v>
      </c>
      <c r="AG49" s="32">
        <v>1.0</v>
      </c>
      <c r="AH49" s="32">
        <v>1.0</v>
      </c>
      <c r="AI49" s="32">
        <v>1.0</v>
      </c>
      <c r="AJ49" s="32">
        <v>1.0</v>
      </c>
      <c r="AK49" s="32">
        <v>1.0</v>
      </c>
      <c r="AL49" s="32">
        <v>1.0</v>
      </c>
      <c r="AM49" s="32">
        <v>1.0</v>
      </c>
      <c r="AN49" s="32">
        <v>1.0</v>
      </c>
      <c r="AO49" s="32">
        <v>1.0</v>
      </c>
      <c r="AP49" s="32">
        <v>1.0</v>
      </c>
      <c r="AQ49" s="32">
        <v>1.0</v>
      </c>
      <c r="AR49" s="32">
        <v>1.0</v>
      </c>
      <c r="AS49" s="32">
        <v>1.0</v>
      </c>
      <c r="AT49" s="32">
        <v>1.0</v>
      </c>
      <c r="AU49" s="32">
        <v>1.0</v>
      </c>
      <c r="AV49" s="32">
        <v>1.0</v>
      </c>
      <c r="AW49" s="32">
        <v>1.0</v>
      </c>
      <c r="AX49" s="32">
        <v>1.0</v>
      </c>
      <c r="AY49" s="32">
        <v>1.0</v>
      </c>
      <c r="AZ49" s="32">
        <v>1.0</v>
      </c>
      <c r="BA49" s="39" t="s">
        <v>99</v>
      </c>
      <c r="BB49" s="39" t="s">
        <v>99</v>
      </c>
      <c r="BC49" s="39" t="s">
        <v>99</v>
      </c>
      <c r="BD49" s="39" t="s">
        <v>99</v>
      </c>
      <c r="BE49" s="39" t="s">
        <v>99</v>
      </c>
      <c r="BF49" s="39" t="s">
        <v>99</v>
      </c>
      <c r="BG49" s="39" t="s">
        <v>99</v>
      </c>
      <c r="BH49" s="39" t="s">
        <v>99</v>
      </c>
      <c r="BI49" s="39" t="s">
        <v>99</v>
      </c>
      <c r="BJ49" s="39" t="s">
        <v>99</v>
      </c>
      <c r="BK49" s="39" t="s">
        <v>99</v>
      </c>
      <c r="BL49" s="39" t="s">
        <v>99</v>
      </c>
      <c r="BM49" s="39" t="s">
        <v>99</v>
      </c>
      <c r="BN49" s="47" t="s">
        <v>100</v>
      </c>
      <c r="BO49" s="39" t="s">
        <v>99</v>
      </c>
      <c r="BP49" s="35">
        <f>IFERROR(__xludf.DUMMYFUNCTION("IFERROR(
  INDEX(
    FILTER(X49:BK49, ISNUMBER(X49:BK49)),
    COUNTA(FILTER(X49:BK49, ISNUMBER(X49:BK49)))
  ),
  BK49
)"),1.0)</f>
        <v>1</v>
      </c>
    </row>
    <row r="50">
      <c r="A50" s="27">
        <v>40.0</v>
      </c>
      <c r="B50" s="49" t="s">
        <v>273</v>
      </c>
      <c r="C50" s="49">
        <v>1125.0</v>
      </c>
      <c r="D50" s="49" t="s">
        <v>273</v>
      </c>
      <c r="E50" s="49">
        <v>1125.0</v>
      </c>
      <c r="F50" s="29" t="str">
        <f>IFERROR(VLOOKUP(M50:M123,'R22 RELATÓRIO ACC'!B:F,5,FALSE),"NOT PUBLISHED")</f>
        <v>V6</v>
      </c>
      <c r="G50" s="29" t="str">
        <f>IFERROR(VLOOKUP(M50:M121,'R22 RELATÓRIO ACC'!B:P,15,FALSE),"NOT PUBLISHED")</f>
        <v>07/11/2025</v>
      </c>
      <c r="H50" s="29" t="str">
        <f>IFERROR(VLOOKUP(N50:N123,'RELATÓRIO ACC'!B:F,5,FALSE),"NOT PUBLISHED")</f>
        <v>V1</v>
      </c>
      <c r="I50" s="29" t="str">
        <f>IFERROR(VLOOKUP(N50:N121,'RELATÓRIO ACC'!B:P,15,FALSE),"NOT PUBLISHED")</f>
        <v>21/05/2026</v>
      </c>
      <c r="J50" s="29">
        <v>45856.0</v>
      </c>
      <c r="K50" s="30" t="s">
        <v>131</v>
      </c>
      <c r="L50" s="30" t="s">
        <v>72</v>
      </c>
      <c r="M50" s="30" t="s">
        <v>274</v>
      </c>
      <c r="N50" s="30" t="s">
        <v>274</v>
      </c>
      <c r="O50" s="30" t="s">
        <v>275</v>
      </c>
      <c r="P50" s="30" t="b">
        <v>0</v>
      </c>
      <c r="Q50" s="30" t="s">
        <v>153</v>
      </c>
      <c r="R50" s="30" t="s">
        <v>77</v>
      </c>
      <c r="S50" s="30"/>
      <c r="T50" s="30"/>
      <c r="U50" s="30"/>
      <c r="V50" s="29"/>
      <c r="W50" s="29">
        <v>45876.0</v>
      </c>
      <c r="X50" s="30" t="s">
        <v>78</v>
      </c>
      <c r="Y50" s="32">
        <v>0.71</v>
      </c>
      <c r="Z50" s="32">
        <v>0.71</v>
      </c>
      <c r="AA50" s="33" t="s">
        <v>79</v>
      </c>
      <c r="AB50" s="33" t="s">
        <v>79</v>
      </c>
      <c r="AC50" s="32">
        <v>0.86</v>
      </c>
      <c r="AD50" s="32">
        <v>1.0</v>
      </c>
      <c r="AE50" s="32">
        <v>1.0</v>
      </c>
      <c r="AF50" s="32">
        <v>1.0</v>
      </c>
      <c r="AG50" s="32">
        <v>1.0</v>
      </c>
      <c r="AH50" s="32">
        <v>1.0</v>
      </c>
      <c r="AI50" s="32">
        <v>1.0</v>
      </c>
      <c r="AJ50" s="32">
        <v>1.0</v>
      </c>
      <c r="AK50" s="32">
        <v>1.0</v>
      </c>
      <c r="AL50" s="32">
        <v>1.0</v>
      </c>
      <c r="AM50" s="32">
        <v>1.0</v>
      </c>
      <c r="AN50" s="32">
        <v>1.0</v>
      </c>
      <c r="AO50" s="32">
        <v>1.0</v>
      </c>
      <c r="AP50" s="32">
        <v>1.0</v>
      </c>
      <c r="AQ50" s="32">
        <v>1.0</v>
      </c>
      <c r="AR50" s="32">
        <v>1.0</v>
      </c>
      <c r="AS50" s="32">
        <v>1.0</v>
      </c>
      <c r="AT50" s="32">
        <v>1.0</v>
      </c>
      <c r="AU50" s="32">
        <v>1.0</v>
      </c>
      <c r="AV50" s="32">
        <v>1.0</v>
      </c>
      <c r="AW50" s="32">
        <v>1.0</v>
      </c>
      <c r="AX50" s="32">
        <v>1.0</v>
      </c>
      <c r="AY50" s="32">
        <v>1.0</v>
      </c>
      <c r="AZ50" s="32">
        <v>1.0</v>
      </c>
      <c r="BA50" s="39" t="s">
        <v>99</v>
      </c>
      <c r="BB50" s="39" t="s">
        <v>99</v>
      </c>
      <c r="BC50" s="39" t="s">
        <v>99</v>
      </c>
      <c r="BD50" s="39" t="s">
        <v>99</v>
      </c>
      <c r="BE50" s="39" t="s">
        <v>99</v>
      </c>
      <c r="BF50" s="39" t="s">
        <v>99</v>
      </c>
      <c r="BG50" s="39" t="s">
        <v>99</v>
      </c>
      <c r="BH50" s="39" t="s">
        <v>99</v>
      </c>
      <c r="BI50" s="39" t="s">
        <v>99</v>
      </c>
      <c r="BJ50" s="39" t="s">
        <v>99</v>
      </c>
      <c r="BK50" s="39" t="s">
        <v>99</v>
      </c>
      <c r="BL50" s="39" t="s">
        <v>99</v>
      </c>
      <c r="BM50" s="39" t="s">
        <v>99</v>
      </c>
      <c r="BN50" s="47" t="s">
        <v>100</v>
      </c>
      <c r="BO50" s="39" t="s">
        <v>99</v>
      </c>
      <c r="BP50" s="35">
        <f>IFERROR(__xludf.DUMMYFUNCTION("IFERROR(
  INDEX(
    FILTER(X50:BK50, ISNUMBER(X50:BK50)),
    COUNTA(FILTER(X50:BK50, ISNUMBER(X50:BK50)))
  ),
  BK50
)"),1.0)</f>
        <v>1</v>
      </c>
    </row>
    <row r="51">
      <c r="A51" s="27">
        <v>41.0</v>
      </c>
      <c r="B51" s="42" t="s">
        <v>276</v>
      </c>
      <c r="C51" s="42">
        <v>1117.0</v>
      </c>
      <c r="D51" s="42" t="s">
        <v>160</v>
      </c>
      <c r="E51" s="42">
        <v>1128.0</v>
      </c>
      <c r="F51" s="29" t="str">
        <f>IFERROR(VLOOKUP(M51:M124,'R22 RELATÓRIO ACC'!B:F,5,FALSE),"NOT PUBLISHED")</f>
        <v>V16</v>
      </c>
      <c r="G51" s="29" t="str">
        <f>IFERROR(VLOOKUP(M51:M122,'R22 RELATÓRIO ACC'!B:P,15,FALSE),"NOT PUBLISHED")</f>
        <v>06/03/2026</v>
      </c>
      <c r="H51" s="29" t="str">
        <f>IFERROR(VLOOKUP(N51:N124,'RELATÓRIO ACC'!B:F,5,FALSE),"NOT PUBLISHED")</f>
        <v>V5</v>
      </c>
      <c r="I51" s="29" t="str">
        <f>IFERROR(VLOOKUP(N51:N122,'RELATÓRIO ACC'!B:P,15,FALSE),"NOT PUBLISHED")</f>
        <v>08/07/2026</v>
      </c>
      <c r="J51" s="29">
        <v>45854.0</v>
      </c>
      <c r="K51" s="30" t="s">
        <v>243</v>
      </c>
      <c r="L51" s="30" t="s">
        <v>72</v>
      </c>
      <c r="M51" s="31" t="s">
        <v>277</v>
      </c>
      <c r="N51" s="31" t="s">
        <v>278</v>
      </c>
      <c r="O51" s="30" t="s">
        <v>279</v>
      </c>
      <c r="P51" s="30" t="b">
        <v>0</v>
      </c>
      <c r="Q51" s="30" t="s">
        <v>153</v>
      </c>
      <c r="R51" s="30" t="s">
        <v>154</v>
      </c>
      <c r="S51" s="30"/>
      <c r="T51" s="30"/>
      <c r="U51" s="30"/>
      <c r="V51" s="29"/>
      <c r="W51" s="29">
        <v>45855.0</v>
      </c>
      <c r="X51" s="30" t="s">
        <v>78</v>
      </c>
      <c r="Y51" s="32">
        <v>0.69</v>
      </c>
      <c r="Z51" s="32">
        <v>0.81</v>
      </c>
      <c r="AA51" s="32">
        <v>0.88</v>
      </c>
      <c r="AB51" s="32">
        <v>1.0</v>
      </c>
      <c r="AC51" s="32">
        <v>1.0</v>
      </c>
      <c r="AD51" s="32">
        <v>1.0</v>
      </c>
      <c r="AE51" s="32">
        <v>1.0</v>
      </c>
      <c r="AF51" s="32">
        <v>1.0</v>
      </c>
      <c r="AG51" s="32">
        <v>1.0</v>
      </c>
      <c r="AH51" s="32">
        <v>1.0</v>
      </c>
      <c r="AI51" s="32">
        <v>1.0</v>
      </c>
      <c r="AJ51" s="32">
        <v>1.0</v>
      </c>
      <c r="AK51" s="32">
        <v>1.0</v>
      </c>
      <c r="AL51" s="32">
        <v>1.0</v>
      </c>
      <c r="AM51" s="32">
        <v>1.0</v>
      </c>
      <c r="AN51" s="32">
        <v>1.0</v>
      </c>
      <c r="AO51" s="32">
        <v>1.0</v>
      </c>
      <c r="AP51" s="32">
        <v>1.0</v>
      </c>
      <c r="AQ51" s="32">
        <v>1.0</v>
      </c>
      <c r="AR51" s="32">
        <v>1.0</v>
      </c>
      <c r="AS51" s="32">
        <v>1.0</v>
      </c>
      <c r="AT51" s="32">
        <v>1.0</v>
      </c>
      <c r="AU51" s="32">
        <v>1.0</v>
      </c>
      <c r="AV51" s="32">
        <v>1.0</v>
      </c>
      <c r="AW51" s="32">
        <v>1.0</v>
      </c>
      <c r="AX51" s="32">
        <v>1.0</v>
      </c>
      <c r="AY51" s="32">
        <v>1.0</v>
      </c>
      <c r="AZ51" s="32">
        <v>1.0</v>
      </c>
      <c r="BA51" s="39" t="s">
        <v>99</v>
      </c>
      <c r="BB51" s="39" t="s">
        <v>99</v>
      </c>
      <c r="BC51" s="39" t="s">
        <v>99</v>
      </c>
      <c r="BD51" s="39" t="s">
        <v>99</v>
      </c>
      <c r="BE51" s="39" t="s">
        <v>99</v>
      </c>
      <c r="BF51" s="39" t="s">
        <v>99</v>
      </c>
      <c r="BG51" s="39" t="s">
        <v>99</v>
      </c>
      <c r="BH51" s="39" t="s">
        <v>99</v>
      </c>
      <c r="BI51" s="39" t="s">
        <v>99</v>
      </c>
      <c r="BJ51" s="39" t="s">
        <v>99</v>
      </c>
      <c r="BK51" s="39" t="s">
        <v>99</v>
      </c>
      <c r="BL51" s="39" t="s">
        <v>99</v>
      </c>
      <c r="BM51" s="39" t="s">
        <v>99</v>
      </c>
      <c r="BN51" s="47" t="s">
        <v>100</v>
      </c>
      <c r="BO51" s="39" t="s">
        <v>99</v>
      </c>
      <c r="BP51" s="35">
        <f>IFERROR(__xludf.DUMMYFUNCTION("IFERROR(
  INDEX(
    FILTER(X51:BK51, ISNUMBER(X51:BK51)),
    COUNTA(FILTER(X51:BK51, ISNUMBER(X51:BK51)))
  ),
  BK51
)"),1.0)</f>
        <v>1</v>
      </c>
    </row>
    <row r="52">
      <c r="A52" s="27">
        <v>42.0</v>
      </c>
      <c r="B52" s="60" t="s">
        <v>280</v>
      </c>
      <c r="C52" s="60">
        <v>1110.0</v>
      </c>
      <c r="D52" s="60" t="s">
        <v>160</v>
      </c>
      <c r="E52" s="60">
        <v>1128.0</v>
      </c>
      <c r="F52" s="29" t="str">
        <f>IFERROR(VLOOKUP(M52:M125,'R22 RELATÓRIO ACC'!B:F,5,FALSE),"NOT PUBLISHED")</f>
        <v>V25</v>
      </c>
      <c r="G52" s="29" t="str">
        <f>IFERROR(VLOOKUP(M52:M123,'R22 RELATÓRIO ACC'!B:P,15,FALSE),"NOT PUBLISHED")</f>
        <v>06/05/2026</v>
      </c>
      <c r="H52" s="29" t="str">
        <f>IFERROR(VLOOKUP(N52:N125,'RELATÓRIO ACC'!B:F,5,FALSE),"NOT PUBLISHED")</f>
        <v>V3</v>
      </c>
      <c r="I52" s="29" t="str">
        <f>IFERROR(VLOOKUP(N52:N123,'RELATÓRIO ACC'!B:P,15,FALSE),"NOT PUBLISHED")</f>
        <v>07/07/2026</v>
      </c>
      <c r="J52" s="29">
        <v>45854.0</v>
      </c>
      <c r="K52" s="30" t="s">
        <v>253</v>
      </c>
      <c r="L52" s="30" t="s">
        <v>72</v>
      </c>
      <c r="M52" s="31" t="s">
        <v>281</v>
      </c>
      <c r="N52" s="31" t="s">
        <v>282</v>
      </c>
      <c r="O52" s="30" t="s">
        <v>283</v>
      </c>
      <c r="P52" s="30" t="b">
        <v>0</v>
      </c>
      <c r="Q52" s="30" t="s">
        <v>153</v>
      </c>
      <c r="R52" s="30" t="s">
        <v>154</v>
      </c>
      <c r="S52" s="30"/>
      <c r="T52" s="30"/>
      <c r="U52" s="30"/>
      <c r="V52" s="29"/>
      <c r="W52" s="29">
        <v>45862.0</v>
      </c>
      <c r="X52" s="30" t="s">
        <v>78</v>
      </c>
      <c r="Y52" s="30" t="s">
        <v>78</v>
      </c>
      <c r="Z52" s="32">
        <v>0.47</v>
      </c>
      <c r="AA52" s="32">
        <v>0.81</v>
      </c>
      <c r="AB52" s="32">
        <v>0.94</v>
      </c>
      <c r="AC52" s="32">
        <v>1.0</v>
      </c>
      <c r="AD52" s="32">
        <v>1.0</v>
      </c>
      <c r="AE52" s="32">
        <v>1.0</v>
      </c>
      <c r="AF52" s="32">
        <v>1.0</v>
      </c>
      <c r="AG52" s="32">
        <v>1.0</v>
      </c>
      <c r="AH52" s="32">
        <v>1.0</v>
      </c>
      <c r="AI52" s="32">
        <v>1.0</v>
      </c>
      <c r="AJ52" s="32">
        <v>1.0</v>
      </c>
      <c r="AK52" s="32">
        <v>1.0</v>
      </c>
      <c r="AL52" s="32">
        <v>1.0</v>
      </c>
      <c r="AM52" s="32">
        <v>1.0</v>
      </c>
      <c r="AN52" s="32">
        <v>1.0</v>
      </c>
      <c r="AO52" s="32">
        <v>1.0</v>
      </c>
      <c r="AP52" s="32">
        <v>1.0</v>
      </c>
      <c r="AQ52" s="32">
        <v>1.0</v>
      </c>
      <c r="AR52" s="32">
        <v>1.0</v>
      </c>
      <c r="AS52" s="32">
        <v>1.0</v>
      </c>
      <c r="AT52" s="32">
        <v>1.0</v>
      </c>
      <c r="AU52" s="32">
        <v>1.0</v>
      </c>
      <c r="AV52" s="32">
        <v>1.0</v>
      </c>
      <c r="AW52" s="32">
        <v>1.0</v>
      </c>
      <c r="AX52" s="32">
        <v>1.0</v>
      </c>
      <c r="AY52" s="32">
        <v>1.0</v>
      </c>
      <c r="AZ52" s="32">
        <v>1.0</v>
      </c>
      <c r="BA52" s="39" t="s">
        <v>99</v>
      </c>
      <c r="BB52" s="39" t="s">
        <v>99</v>
      </c>
      <c r="BC52" s="39" t="s">
        <v>99</v>
      </c>
      <c r="BD52" s="39" t="s">
        <v>99</v>
      </c>
      <c r="BE52" s="39" t="s">
        <v>99</v>
      </c>
      <c r="BF52" s="39" t="s">
        <v>99</v>
      </c>
      <c r="BG52" s="39" t="s">
        <v>99</v>
      </c>
      <c r="BH52" s="39" t="s">
        <v>99</v>
      </c>
      <c r="BI52" s="39" t="s">
        <v>99</v>
      </c>
      <c r="BJ52" s="39" t="s">
        <v>99</v>
      </c>
      <c r="BK52" s="39" t="s">
        <v>99</v>
      </c>
      <c r="BL52" s="39" t="s">
        <v>99</v>
      </c>
      <c r="BM52" s="39" t="s">
        <v>99</v>
      </c>
      <c r="BN52" s="47" t="s">
        <v>100</v>
      </c>
      <c r="BO52" s="39" t="s">
        <v>99</v>
      </c>
      <c r="BP52" s="35">
        <f>IFERROR(__xludf.DUMMYFUNCTION("IFERROR(
  INDEX(
    FILTER(X52:BK52, ISNUMBER(X52:BK52)),
    COUNTA(FILTER(X52:BK52, ISNUMBER(X52:BK52)))
  ),
  BK52
)"),1.0)</f>
        <v>1</v>
      </c>
    </row>
    <row r="53">
      <c r="A53" s="27">
        <v>43.0</v>
      </c>
      <c r="B53" s="49" t="s">
        <v>273</v>
      </c>
      <c r="C53" s="49">
        <v>1125.0</v>
      </c>
      <c r="D53" s="49" t="s">
        <v>273</v>
      </c>
      <c r="E53" s="49">
        <v>1125.0</v>
      </c>
      <c r="F53" s="29" t="str">
        <f>IFERROR(VLOOKUP(M53:M126,'R22 RELATÓRIO ACC'!B:F,5,FALSE),"NOT PUBLISHED")</f>
        <v>V7</v>
      </c>
      <c r="G53" s="29" t="str">
        <f>IFERROR(VLOOKUP(M53:M124,'R22 RELATÓRIO ACC'!B:P,15,FALSE),"NOT PUBLISHED")</f>
        <v>07/11/2025</v>
      </c>
      <c r="H53" s="29" t="str">
        <f>IFERROR(VLOOKUP(N53:N126,'RELATÓRIO ACC'!B:F,5,FALSE),"NOT PUBLISHED")</f>
        <v>V1</v>
      </c>
      <c r="I53" s="29" t="str">
        <f>IFERROR(VLOOKUP(N53:N124,'RELATÓRIO ACC'!B:P,15,FALSE),"NOT PUBLISHED")</f>
        <v>21/05/2026</v>
      </c>
      <c r="J53" s="29">
        <v>45856.0</v>
      </c>
      <c r="K53" s="30" t="s">
        <v>284</v>
      </c>
      <c r="L53" s="30" t="s">
        <v>72</v>
      </c>
      <c r="M53" s="30" t="s">
        <v>285</v>
      </c>
      <c r="N53" s="30" t="s">
        <v>285</v>
      </c>
      <c r="O53" s="30" t="s">
        <v>286</v>
      </c>
      <c r="P53" s="30" t="b">
        <v>0</v>
      </c>
      <c r="Q53" s="30" t="s">
        <v>153</v>
      </c>
      <c r="R53" s="30" t="s">
        <v>77</v>
      </c>
      <c r="S53" s="30"/>
      <c r="T53" s="30"/>
      <c r="U53" s="30"/>
      <c r="V53" s="29"/>
      <c r="W53" s="29">
        <v>45876.0</v>
      </c>
      <c r="X53" s="30" t="s">
        <v>78</v>
      </c>
      <c r="Y53" s="32">
        <v>0.71</v>
      </c>
      <c r="Z53" s="32">
        <v>0.71</v>
      </c>
      <c r="AA53" s="33" t="s">
        <v>79</v>
      </c>
      <c r="AB53" s="33" t="s">
        <v>79</v>
      </c>
      <c r="AC53" s="32">
        <v>0.86</v>
      </c>
      <c r="AD53" s="32">
        <v>1.0</v>
      </c>
      <c r="AE53" s="32">
        <v>1.0</v>
      </c>
      <c r="AF53" s="32">
        <v>1.0</v>
      </c>
      <c r="AG53" s="32">
        <v>1.0</v>
      </c>
      <c r="AH53" s="32">
        <v>1.0</v>
      </c>
      <c r="AI53" s="32">
        <v>1.0</v>
      </c>
      <c r="AJ53" s="32">
        <v>1.0</v>
      </c>
      <c r="AK53" s="32">
        <v>1.0</v>
      </c>
      <c r="AL53" s="32">
        <v>1.0</v>
      </c>
      <c r="AM53" s="32">
        <v>1.0</v>
      </c>
      <c r="AN53" s="32">
        <v>1.0</v>
      </c>
      <c r="AO53" s="32">
        <v>1.0</v>
      </c>
      <c r="AP53" s="32">
        <v>1.0</v>
      </c>
      <c r="AQ53" s="32">
        <v>1.0</v>
      </c>
      <c r="AR53" s="32">
        <v>1.0</v>
      </c>
      <c r="AS53" s="32">
        <v>1.0</v>
      </c>
      <c r="AT53" s="32">
        <v>1.0</v>
      </c>
      <c r="AU53" s="32">
        <v>1.0</v>
      </c>
      <c r="AV53" s="32">
        <v>1.0</v>
      </c>
      <c r="AW53" s="32">
        <v>1.0</v>
      </c>
      <c r="AX53" s="32">
        <v>1.0</v>
      </c>
      <c r="AY53" s="32">
        <v>1.0</v>
      </c>
      <c r="AZ53" s="32">
        <v>1.0</v>
      </c>
      <c r="BA53" s="39" t="s">
        <v>99</v>
      </c>
      <c r="BB53" s="39" t="s">
        <v>99</v>
      </c>
      <c r="BC53" s="39" t="s">
        <v>99</v>
      </c>
      <c r="BD53" s="39" t="s">
        <v>99</v>
      </c>
      <c r="BE53" s="39" t="s">
        <v>99</v>
      </c>
      <c r="BF53" s="39" t="s">
        <v>99</v>
      </c>
      <c r="BG53" s="39" t="s">
        <v>99</v>
      </c>
      <c r="BH53" s="39" t="s">
        <v>99</v>
      </c>
      <c r="BI53" s="39" t="s">
        <v>99</v>
      </c>
      <c r="BJ53" s="39" t="s">
        <v>99</v>
      </c>
      <c r="BK53" s="39" t="s">
        <v>99</v>
      </c>
      <c r="BL53" s="39" t="s">
        <v>99</v>
      </c>
      <c r="BM53" s="39" t="s">
        <v>99</v>
      </c>
      <c r="BN53" s="47" t="s">
        <v>100</v>
      </c>
      <c r="BO53" s="39" t="s">
        <v>99</v>
      </c>
      <c r="BP53" s="35">
        <f>IFERROR(__xludf.DUMMYFUNCTION("IFERROR(
  INDEX(
    FILTER(X53:BK53, ISNUMBER(X53:BK53)),
    COUNTA(FILTER(X53:BK53, ISNUMBER(X53:BK53)))
  ),
  BK53
)"),1.0)</f>
        <v>1</v>
      </c>
    </row>
    <row r="54">
      <c r="A54" s="27">
        <v>44.0</v>
      </c>
      <c r="B54" s="61" t="s">
        <v>287</v>
      </c>
      <c r="C54" s="61">
        <v>1118.0</v>
      </c>
      <c r="D54" s="61" t="s">
        <v>287</v>
      </c>
      <c r="E54" s="62">
        <v>1118.0</v>
      </c>
      <c r="F54" s="29" t="str">
        <f>IFERROR(VLOOKUP(M54:M127,'R22 RELATÓRIO ACC'!B:F,5,FALSE),"NOT PUBLISHED")</f>
        <v>V59</v>
      </c>
      <c r="G54" s="29" t="str">
        <f>IFERROR(VLOOKUP(M54:M125,'R22 RELATÓRIO ACC'!B:P,15,FALSE),"NOT PUBLISHED")</f>
        <v>17/04/2026</v>
      </c>
      <c r="H54" s="29" t="str">
        <f>IFERROR(VLOOKUP(N54:N127,'RELATÓRIO ACC'!B:F,5,FALSE),"NOT PUBLISHED")</f>
        <v>V5</v>
      </c>
      <c r="I54" s="29" t="str">
        <f>IFERROR(VLOOKUP(N54:N125,'RELATÓRIO ACC'!B:P,15,FALSE),"NOT PUBLISHED")</f>
        <v>06/07/2026</v>
      </c>
      <c r="J54" s="29">
        <v>45889.0</v>
      </c>
      <c r="K54" s="30" t="s">
        <v>288</v>
      </c>
      <c r="L54" s="30" t="s">
        <v>123</v>
      </c>
      <c r="M54" s="31" t="s">
        <v>289</v>
      </c>
      <c r="N54" s="31" t="s">
        <v>290</v>
      </c>
      <c r="O54" s="30" t="s">
        <v>291</v>
      </c>
      <c r="P54" s="30" t="b">
        <v>0</v>
      </c>
      <c r="Q54" s="30" t="s">
        <v>153</v>
      </c>
      <c r="R54" s="30" t="s">
        <v>127</v>
      </c>
      <c r="S54" s="30" t="s">
        <v>128</v>
      </c>
      <c r="T54" s="30" t="s">
        <v>128</v>
      </c>
      <c r="U54" s="30" t="s">
        <v>187</v>
      </c>
      <c r="V54" s="29">
        <v>45889.0</v>
      </c>
      <c r="W54" s="29">
        <v>45889.0</v>
      </c>
      <c r="X54" s="30" t="s">
        <v>78</v>
      </c>
      <c r="Y54" s="32">
        <v>0.44</v>
      </c>
      <c r="Z54" s="32">
        <v>0.38</v>
      </c>
      <c r="AA54" s="32">
        <v>0.5</v>
      </c>
      <c r="AB54" s="32">
        <v>0.56</v>
      </c>
      <c r="AC54" s="32">
        <v>0.82</v>
      </c>
      <c r="AD54" s="32">
        <v>0.71</v>
      </c>
      <c r="AE54" s="32">
        <v>1.0</v>
      </c>
      <c r="AF54" s="32">
        <v>1.0</v>
      </c>
      <c r="AG54" s="32">
        <v>1.0</v>
      </c>
      <c r="AH54" s="32">
        <v>1.0</v>
      </c>
      <c r="AI54" s="32">
        <v>1.0</v>
      </c>
      <c r="AJ54" s="32">
        <v>1.0</v>
      </c>
      <c r="AK54" s="32">
        <v>1.0</v>
      </c>
      <c r="AL54" s="32">
        <v>1.0</v>
      </c>
      <c r="AM54" s="32">
        <v>1.0</v>
      </c>
      <c r="AN54" s="32">
        <v>1.0</v>
      </c>
      <c r="AO54" s="32">
        <v>1.0</v>
      </c>
      <c r="AP54" s="32">
        <v>1.0</v>
      </c>
      <c r="AQ54" s="32">
        <v>1.0</v>
      </c>
      <c r="AR54" s="32">
        <v>1.0</v>
      </c>
      <c r="AS54" s="32">
        <v>1.0</v>
      </c>
      <c r="AT54" s="32">
        <v>1.0</v>
      </c>
      <c r="AU54" s="32">
        <v>1.0</v>
      </c>
      <c r="AV54" s="32">
        <v>1.0</v>
      </c>
      <c r="AW54" s="32">
        <v>1.0</v>
      </c>
      <c r="AX54" s="32">
        <v>1.0</v>
      </c>
      <c r="AY54" s="32">
        <v>1.0</v>
      </c>
      <c r="AZ54" s="32">
        <v>1.0</v>
      </c>
      <c r="BA54" s="39" t="s">
        <v>99</v>
      </c>
      <c r="BB54" s="39" t="s">
        <v>99</v>
      </c>
      <c r="BC54" s="39" t="s">
        <v>99</v>
      </c>
      <c r="BD54" s="39" t="s">
        <v>99</v>
      </c>
      <c r="BE54" s="39" t="s">
        <v>99</v>
      </c>
      <c r="BF54" s="39" t="s">
        <v>99</v>
      </c>
      <c r="BG54" s="39" t="s">
        <v>99</v>
      </c>
      <c r="BH54" s="39" t="s">
        <v>99</v>
      </c>
      <c r="BI54" s="39" t="s">
        <v>99</v>
      </c>
      <c r="BJ54" s="39" t="s">
        <v>99</v>
      </c>
      <c r="BK54" s="39" t="s">
        <v>99</v>
      </c>
      <c r="BL54" s="39" t="s">
        <v>99</v>
      </c>
      <c r="BM54" s="39" t="s">
        <v>99</v>
      </c>
      <c r="BN54" s="47" t="s">
        <v>100</v>
      </c>
      <c r="BO54" s="39" t="s">
        <v>99</v>
      </c>
      <c r="BP54" s="35">
        <f>IFERROR(__xludf.DUMMYFUNCTION("IFERROR(
  INDEX(
    FILTER(X54:BK54, ISNUMBER(X54:BK54)),
    COUNTA(FILTER(X54:BK54, ISNUMBER(X54:BK54)))
  ),
  BK54
)"),1.0)</f>
        <v>1</v>
      </c>
    </row>
    <row r="55">
      <c r="A55" s="27">
        <v>45.0</v>
      </c>
      <c r="B55" s="61" t="s">
        <v>287</v>
      </c>
      <c r="C55" s="61">
        <v>1118.0</v>
      </c>
      <c r="D55" s="61" t="s">
        <v>287</v>
      </c>
      <c r="E55" s="62">
        <v>1118.0</v>
      </c>
      <c r="F55" s="29" t="str">
        <f>IFERROR(VLOOKUP(M55:M128,'R22 RELATÓRIO ACC'!B:F,5,FALSE),"NOT PUBLISHED")</f>
        <v>V23</v>
      </c>
      <c r="G55" s="29" t="str">
        <f>IFERROR(VLOOKUP(M55:M126,'R22 RELATÓRIO ACC'!B:P,15,FALSE),"NOT PUBLISHED")</f>
        <v>16/04/2026</v>
      </c>
      <c r="H55" s="29" t="str">
        <f>IFERROR(VLOOKUP(N55:N128,'RELATÓRIO ACC'!B:F,5,FALSE),"NOT PUBLISHED")</f>
        <v>V1</v>
      </c>
      <c r="I55" s="29" t="str">
        <f>IFERROR(VLOOKUP(N55:N126,'RELATÓRIO ACC'!B:P,15,FALSE),"NOT PUBLISHED")</f>
        <v>19/05/2026</v>
      </c>
      <c r="J55" s="29">
        <v>45862.0</v>
      </c>
      <c r="K55" s="30" t="s">
        <v>292</v>
      </c>
      <c r="L55" s="30" t="s">
        <v>72</v>
      </c>
      <c r="M55" s="31" t="s">
        <v>293</v>
      </c>
      <c r="N55" s="31" t="s">
        <v>294</v>
      </c>
      <c r="O55" s="30" t="s">
        <v>295</v>
      </c>
      <c r="P55" s="30" t="b">
        <v>0</v>
      </c>
      <c r="Q55" s="30" t="s">
        <v>153</v>
      </c>
      <c r="R55" s="30" t="s">
        <v>77</v>
      </c>
      <c r="S55" s="30"/>
      <c r="T55" s="30"/>
      <c r="U55" s="30"/>
      <c r="V55" s="29"/>
      <c r="W55" s="29">
        <v>45869.0</v>
      </c>
      <c r="X55" s="30" t="s">
        <v>78</v>
      </c>
      <c r="Y55" s="30" t="s">
        <v>78</v>
      </c>
      <c r="Z55" s="32">
        <v>0.56</v>
      </c>
      <c r="AA55" s="32">
        <v>0.75</v>
      </c>
      <c r="AB55" s="32">
        <v>0.82</v>
      </c>
      <c r="AC55" s="32">
        <v>0.94</v>
      </c>
      <c r="AD55" s="32">
        <v>1.0</v>
      </c>
      <c r="AE55" s="32">
        <v>1.0</v>
      </c>
      <c r="AF55" s="32">
        <v>1.0</v>
      </c>
      <c r="AG55" s="32">
        <v>1.0</v>
      </c>
      <c r="AH55" s="32">
        <v>1.0</v>
      </c>
      <c r="AI55" s="32">
        <v>1.0</v>
      </c>
      <c r="AJ55" s="32">
        <v>1.0</v>
      </c>
      <c r="AK55" s="32">
        <v>1.0</v>
      </c>
      <c r="AL55" s="32">
        <v>1.0</v>
      </c>
      <c r="AM55" s="32">
        <v>1.0</v>
      </c>
      <c r="AN55" s="32">
        <v>1.0</v>
      </c>
      <c r="AO55" s="32">
        <v>1.0</v>
      </c>
      <c r="AP55" s="32">
        <v>1.0</v>
      </c>
      <c r="AQ55" s="32">
        <v>1.0</v>
      </c>
      <c r="AR55" s="32">
        <v>1.0</v>
      </c>
      <c r="AS55" s="32">
        <v>1.0</v>
      </c>
      <c r="AT55" s="32">
        <v>1.0</v>
      </c>
      <c r="AU55" s="32">
        <v>1.0</v>
      </c>
      <c r="AV55" s="32">
        <v>1.0</v>
      </c>
      <c r="AW55" s="32">
        <v>1.0</v>
      </c>
      <c r="AX55" s="32">
        <v>1.0</v>
      </c>
      <c r="AY55" s="32">
        <v>1.0</v>
      </c>
      <c r="AZ55" s="32">
        <v>1.0</v>
      </c>
      <c r="BA55" s="39" t="s">
        <v>99</v>
      </c>
      <c r="BB55" s="39" t="s">
        <v>99</v>
      </c>
      <c r="BC55" s="39" t="s">
        <v>99</v>
      </c>
      <c r="BD55" s="39" t="s">
        <v>99</v>
      </c>
      <c r="BE55" s="39" t="s">
        <v>99</v>
      </c>
      <c r="BF55" s="39" t="s">
        <v>99</v>
      </c>
      <c r="BG55" s="39" t="s">
        <v>99</v>
      </c>
      <c r="BH55" s="39" t="s">
        <v>99</v>
      </c>
      <c r="BI55" s="39" t="s">
        <v>99</v>
      </c>
      <c r="BJ55" s="39" t="s">
        <v>99</v>
      </c>
      <c r="BK55" s="39" t="s">
        <v>99</v>
      </c>
      <c r="BL55" s="39" t="s">
        <v>99</v>
      </c>
      <c r="BM55" s="39" t="s">
        <v>99</v>
      </c>
      <c r="BN55" s="47" t="s">
        <v>100</v>
      </c>
      <c r="BO55" s="39" t="s">
        <v>99</v>
      </c>
      <c r="BP55" s="35">
        <f>IFERROR(__xludf.DUMMYFUNCTION("IFERROR(
  INDEX(
    FILTER(X55:BK55, ISNUMBER(X55:BK55)),
    COUNTA(FILTER(X55:BK55, ISNUMBER(X55:BK55)))
  ),
  BK55
)"),1.0)</f>
        <v>1</v>
      </c>
    </row>
    <row r="56">
      <c r="A56" s="27">
        <v>46.0</v>
      </c>
      <c r="B56" s="61" t="s">
        <v>287</v>
      </c>
      <c r="C56" s="61">
        <v>1118.0</v>
      </c>
      <c r="D56" s="61" t="s">
        <v>287</v>
      </c>
      <c r="E56" s="62">
        <v>1118.0</v>
      </c>
      <c r="F56" s="29" t="str">
        <f>IFERROR(VLOOKUP(M56:M129,'R22 RELATÓRIO ACC'!B:F,5,FALSE),"NOT PUBLISHED")</f>
        <v>V28</v>
      </c>
      <c r="G56" s="29" t="str">
        <f>IFERROR(VLOOKUP(M56:M127,'R22 RELATÓRIO ACC'!B:P,15,FALSE),"NOT PUBLISHED")</f>
        <v>26/02/2026</v>
      </c>
      <c r="H56" s="29" t="str">
        <f>IFERROR(VLOOKUP(N56:N129,'RELATÓRIO ACC'!B:F,5,FALSE),"NOT PUBLISHED")</f>
        <v>V1</v>
      </c>
      <c r="I56" s="29" t="str">
        <f>IFERROR(VLOOKUP(N56:N127,'RELATÓRIO ACC'!B:P,15,FALSE),"NOT PUBLISHED")</f>
        <v>19/05/2026</v>
      </c>
      <c r="J56" s="29">
        <v>45860.0</v>
      </c>
      <c r="K56" s="30" t="s">
        <v>296</v>
      </c>
      <c r="L56" s="30" t="s">
        <v>72</v>
      </c>
      <c r="M56" s="31" t="s">
        <v>297</v>
      </c>
      <c r="N56" s="31" t="s">
        <v>298</v>
      </c>
      <c r="O56" s="30" t="s">
        <v>299</v>
      </c>
      <c r="P56" s="30" t="b">
        <v>0</v>
      </c>
      <c r="Q56" s="30" t="s">
        <v>153</v>
      </c>
      <c r="R56" s="30" t="s">
        <v>77</v>
      </c>
      <c r="S56" s="30"/>
      <c r="T56" s="30"/>
      <c r="U56" s="30"/>
      <c r="V56" s="29"/>
      <c r="W56" s="29">
        <v>45869.0</v>
      </c>
      <c r="X56" s="30" t="s">
        <v>78</v>
      </c>
      <c r="Y56" s="32">
        <v>0.63</v>
      </c>
      <c r="Z56" s="32">
        <v>0.63</v>
      </c>
      <c r="AA56" s="32">
        <v>0.75</v>
      </c>
      <c r="AB56" s="32">
        <v>0.82</v>
      </c>
      <c r="AC56" s="32">
        <v>0.94</v>
      </c>
      <c r="AD56" s="32">
        <v>1.0</v>
      </c>
      <c r="AE56" s="32">
        <v>1.0</v>
      </c>
      <c r="AF56" s="32">
        <v>1.0</v>
      </c>
      <c r="AG56" s="32">
        <v>1.0</v>
      </c>
      <c r="AH56" s="32">
        <v>1.0</v>
      </c>
      <c r="AI56" s="32">
        <v>1.0</v>
      </c>
      <c r="AJ56" s="32">
        <v>1.0</v>
      </c>
      <c r="AK56" s="32">
        <v>1.0</v>
      </c>
      <c r="AL56" s="32">
        <v>1.0</v>
      </c>
      <c r="AM56" s="32">
        <v>1.0</v>
      </c>
      <c r="AN56" s="32">
        <v>1.0</v>
      </c>
      <c r="AO56" s="32">
        <v>1.0</v>
      </c>
      <c r="AP56" s="32">
        <v>1.0</v>
      </c>
      <c r="AQ56" s="32">
        <v>1.0</v>
      </c>
      <c r="AR56" s="32">
        <v>1.0</v>
      </c>
      <c r="AS56" s="32">
        <v>1.0</v>
      </c>
      <c r="AT56" s="32">
        <v>1.0</v>
      </c>
      <c r="AU56" s="32">
        <v>1.0</v>
      </c>
      <c r="AV56" s="32">
        <v>1.0</v>
      </c>
      <c r="AW56" s="32">
        <v>1.0</v>
      </c>
      <c r="AX56" s="32">
        <v>1.0</v>
      </c>
      <c r="AY56" s="32">
        <v>1.0</v>
      </c>
      <c r="AZ56" s="32">
        <v>1.0</v>
      </c>
      <c r="BA56" s="39" t="s">
        <v>99</v>
      </c>
      <c r="BB56" s="39" t="s">
        <v>99</v>
      </c>
      <c r="BC56" s="39" t="s">
        <v>99</v>
      </c>
      <c r="BD56" s="39" t="s">
        <v>99</v>
      </c>
      <c r="BE56" s="39" t="s">
        <v>99</v>
      </c>
      <c r="BF56" s="39" t="s">
        <v>99</v>
      </c>
      <c r="BG56" s="39" t="s">
        <v>99</v>
      </c>
      <c r="BH56" s="39" t="s">
        <v>99</v>
      </c>
      <c r="BI56" s="39" t="s">
        <v>99</v>
      </c>
      <c r="BJ56" s="39" t="s">
        <v>99</v>
      </c>
      <c r="BK56" s="39" t="s">
        <v>99</v>
      </c>
      <c r="BL56" s="39" t="s">
        <v>99</v>
      </c>
      <c r="BM56" s="39" t="s">
        <v>99</v>
      </c>
      <c r="BN56" s="47" t="s">
        <v>100</v>
      </c>
      <c r="BO56" s="39" t="s">
        <v>99</v>
      </c>
      <c r="BP56" s="35">
        <f>IFERROR(__xludf.DUMMYFUNCTION("IFERROR(
  INDEX(
    FILTER(X56:BK56, ISNUMBER(X56:BK56)),
    COUNTA(FILTER(X56:BK56, ISNUMBER(X56:BK56)))
  ),
  BK56
)"),1.0)</f>
        <v>1</v>
      </c>
    </row>
    <row r="57">
      <c r="A57" s="27">
        <v>47.0</v>
      </c>
      <c r="B57" s="61" t="s">
        <v>287</v>
      </c>
      <c r="C57" s="61">
        <v>1118.0</v>
      </c>
      <c r="D57" s="61" t="s">
        <v>287</v>
      </c>
      <c r="E57" s="62">
        <v>1118.0</v>
      </c>
      <c r="F57" s="29" t="str">
        <f>IFERROR(VLOOKUP(M57:M130,'R22 RELATÓRIO ACC'!B:F,5,FALSE),"NOT PUBLISHED")</f>
        <v>V39</v>
      </c>
      <c r="G57" s="29" t="str">
        <f>IFERROR(VLOOKUP(M57:M128,'R22 RELATÓRIO ACC'!B:P,15,FALSE),"NOT PUBLISHED")</f>
        <v>30/04/2026</v>
      </c>
      <c r="H57" s="29" t="str">
        <f>IFERROR(VLOOKUP(N57:N130,'RELATÓRIO ACC'!B:F,5,FALSE),"NOT PUBLISHED")</f>
        <v>V3</v>
      </c>
      <c r="I57" s="29" t="str">
        <f>IFERROR(VLOOKUP(N57:N128,'RELATÓRIO ACC'!B:P,15,FALSE),"NOT PUBLISHED")</f>
        <v>01/07/2026</v>
      </c>
      <c r="J57" s="29">
        <v>45868.0</v>
      </c>
      <c r="K57" s="30" t="s">
        <v>234</v>
      </c>
      <c r="L57" s="30" t="s">
        <v>123</v>
      </c>
      <c r="M57" s="31" t="s">
        <v>300</v>
      </c>
      <c r="N57" s="31" t="s">
        <v>301</v>
      </c>
      <c r="O57" s="30" t="s">
        <v>302</v>
      </c>
      <c r="P57" s="30" t="b">
        <v>0</v>
      </c>
      <c r="Q57" s="30" t="s">
        <v>153</v>
      </c>
      <c r="R57" s="30" t="s">
        <v>77</v>
      </c>
      <c r="S57" s="30"/>
      <c r="T57" s="30"/>
      <c r="U57" s="30"/>
      <c r="V57" s="29"/>
      <c r="W57" s="29">
        <v>45876.0</v>
      </c>
      <c r="X57" s="30" t="s">
        <v>78</v>
      </c>
      <c r="Y57" s="32">
        <v>0.69</v>
      </c>
      <c r="Z57" s="32">
        <v>0.75</v>
      </c>
      <c r="AA57" s="32">
        <v>0.56</v>
      </c>
      <c r="AB57" s="32">
        <v>0.65</v>
      </c>
      <c r="AC57" s="32">
        <v>0.76</v>
      </c>
      <c r="AD57" s="32">
        <v>1.0</v>
      </c>
      <c r="AE57" s="32">
        <v>1.0</v>
      </c>
      <c r="AF57" s="32">
        <v>1.0</v>
      </c>
      <c r="AG57" s="32">
        <v>1.0</v>
      </c>
      <c r="AH57" s="32">
        <v>1.0</v>
      </c>
      <c r="AI57" s="32">
        <v>1.0</v>
      </c>
      <c r="AJ57" s="32">
        <v>1.0</v>
      </c>
      <c r="AK57" s="32">
        <v>1.0</v>
      </c>
      <c r="AL57" s="32">
        <v>1.0</v>
      </c>
      <c r="AM57" s="32">
        <v>1.0</v>
      </c>
      <c r="AN57" s="32">
        <v>1.0</v>
      </c>
      <c r="AO57" s="32">
        <v>1.0</v>
      </c>
      <c r="AP57" s="32">
        <v>1.0</v>
      </c>
      <c r="AQ57" s="32">
        <v>1.0</v>
      </c>
      <c r="AR57" s="32">
        <v>1.0</v>
      </c>
      <c r="AS57" s="32">
        <v>1.0</v>
      </c>
      <c r="AT57" s="32">
        <v>1.0</v>
      </c>
      <c r="AU57" s="32">
        <v>1.0</v>
      </c>
      <c r="AV57" s="32">
        <v>1.0</v>
      </c>
      <c r="AW57" s="32">
        <v>1.0</v>
      </c>
      <c r="AX57" s="32">
        <v>1.0</v>
      </c>
      <c r="AY57" s="32">
        <v>1.0</v>
      </c>
      <c r="AZ57" s="32">
        <v>1.0</v>
      </c>
      <c r="BA57" s="39" t="s">
        <v>99</v>
      </c>
      <c r="BB57" s="39" t="s">
        <v>99</v>
      </c>
      <c r="BC57" s="39" t="s">
        <v>99</v>
      </c>
      <c r="BD57" s="39" t="s">
        <v>99</v>
      </c>
      <c r="BE57" s="39" t="s">
        <v>99</v>
      </c>
      <c r="BF57" s="39" t="s">
        <v>99</v>
      </c>
      <c r="BG57" s="39" t="s">
        <v>99</v>
      </c>
      <c r="BH57" s="39" t="s">
        <v>99</v>
      </c>
      <c r="BI57" s="39" t="s">
        <v>99</v>
      </c>
      <c r="BJ57" s="39" t="s">
        <v>99</v>
      </c>
      <c r="BK57" s="39" t="s">
        <v>99</v>
      </c>
      <c r="BL57" s="39" t="s">
        <v>99</v>
      </c>
      <c r="BM57" s="39" t="s">
        <v>99</v>
      </c>
      <c r="BN57" s="47" t="s">
        <v>100</v>
      </c>
      <c r="BO57" s="39" t="s">
        <v>99</v>
      </c>
      <c r="BP57" s="35">
        <f>IFERROR(__xludf.DUMMYFUNCTION("IFERROR(
  INDEX(
    FILTER(X57:BK57, ISNUMBER(X57:BK57)),
    COUNTA(FILTER(X57:BK57, ISNUMBER(X57:BK57)))
  ),
  BK57
)"),1.0)</f>
        <v>1</v>
      </c>
    </row>
    <row r="58">
      <c r="A58" s="27">
        <v>48.0</v>
      </c>
      <c r="B58" s="61" t="s">
        <v>287</v>
      </c>
      <c r="C58" s="61">
        <v>1118.0</v>
      </c>
      <c r="D58" s="61" t="s">
        <v>287</v>
      </c>
      <c r="E58" s="62">
        <v>1118.0</v>
      </c>
      <c r="F58" s="29" t="str">
        <f>IFERROR(VLOOKUP(M58:M131,'R22 RELATÓRIO ACC'!B:F,5,FALSE),"NOT PUBLISHED")</f>
        <v>V46</v>
      </c>
      <c r="G58" s="29" t="str">
        <f>IFERROR(VLOOKUP(M58:M129,'R22 RELATÓRIO ACC'!B:P,15,FALSE),"NOT PUBLISHED")</f>
        <v>24/04/2026</v>
      </c>
      <c r="H58" s="29" t="str">
        <f>IFERROR(VLOOKUP(N58:N131,'RELATÓRIO ACC'!B:F,5,FALSE),"NOT PUBLISHED")</f>
        <v>V2</v>
      </c>
      <c r="I58" s="29" t="str">
        <f>IFERROR(VLOOKUP(N58:N129,'RELATÓRIO ACC'!B:P,15,FALSE),"NOT PUBLISHED")</f>
        <v>15/06/2026</v>
      </c>
      <c r="J58" s="29">
        <v>45863.0</v>
      </c>
      <c r="K58" s="30" t="s">
        <v>204</v>
      </c>
      <c r="L58" s="30" t="s">
        <v>123</v>
      </c>
      <c r="M58" s="31" t="s">
        <v>303</v>
      </c>
      <c r="N58" s="31" t="s">
        <v>304</v>
      </c>
      <c r="O58" s="30" t="s">
        <v>305</v>
      </c>
      <c r="P58" s="30" t="b">
        <v>0</v>
      </c>
      <c r="Q58" s="30" t="s">
        <v>153</v>
      </c>
      <c r="R58" s="30" t="s">
        <v>77</v>
      </c>
      <c r="S58" s="30"/>
      <c r="T58" s="30"/>
      <c r="U58" s="30"/>
      <c r="V58" s="29"/>
      <c r="W58" s="29">
        <v>45870.0</v>
      </c>
      <c r="X58" s="30" t="s">
        <v>78</v>
      </c>
      <c r="Y58" s="32">
        <v>0.56</v>
      </c>
      <c r="Z58" s="32">
        <v>0.69</v>
      </c>
      <c r="AA58" s="32">
        <v>0.56</v>
      </c>
      <c r="AB58" s="32">
        <v>0.71</v>
      </c>
      <c r="AC58" s="32">
        <v>0.94</v>
      </c>
      <c r="AD58" s="32">
        <v>1.0</v>
      </c>
      <c r="AE58" s="32">
        <v>1.0</v>
      </c>
      <c r="AF58" s="32">
        <v>1.0</v>
      </c>
      <c r="AG58" s="32">
        <v>1.0</v>
      </c>
      <c r="AH58" s="32">
        <v>1.0</v>
      </c>
      <c r="AI58" s="32">
        <v>1.0</v>
      </c>
      <c r="AJ58" s="32">
        <v>1.0</v>
      </c>
      <c r="AK58" s="32">
        <v>1.0</v>
      </c>
      <c r="AL58" s="32">
        <v>1.0</v>
      </c>
      <c r="AM58" s="32">
        <v>1.0</v>
      </c>
      <c r="AN58" s="32">
        <v>1.0</v>
      </c>
      <c r="AO58" s="32">
        <v>1.0</v>
      </c>
      <c r="AP58" s="32">
        <v>1.0</v>
      </c>
      <c r="AQ58" s="32">
        <v>1.0</v>
      </c>
      <c r="AR58" s="32">
        <v>1.0</v>
      </c>
      <c r="AS58" s="32">
        <v>1.0</v>
      </c>
      <c r="AT58" s="32">
        <v>1.0</v>
      </c>
      <c r="AU58" s="32">
        <v>1.0</v>
      </c>
      <c r="AV58" s="32">
        <v>1.0</v>
      </c>
      <c r="AW58" s="32">
        <v>1.0</v>
      </c>
      <c r="AX58" s="32">
        <v>1.0</v>
      </c>
      <c r="AY58" s="32">
        <v>1.0</v>
      </c>
      <c r="AZ58" s="32">
        <v>1.0</v>
      </c>
      <c r="BA58" s="39" t="s">
        <v>99</v>
      </c>
      <c r="BB58" s="39" t="s">
        <v>99</v>
      </c>
      <c r="BC58" s="39" t="s">
        <v>99</v>
      </c>
      <c r="BD58" s="39" t="s">
        <v>99</v>
      </c>
      <c r="BE58" s="39" t="s">
        <v>99</v>
      </c>
      <c r="BF58" s="39" t="s">
        <v>99</v>
      </c>
      <c r="BG58" s="39" t="s">
        <v>99</v>
      </c>
      <c r="BH58" s="39" t="s">
        <v>99</v>
      </c>
      <c r="BI58" s="39" t="s">
        <v>99</v>
      </c>
      <c r="BJ58" s="39" t="s">
        <v>99</v>
      </c>
      <c r="BK58" s="39" t="s">
        <v>99</v>
      </c>
      <c r="BL58" s="39" t="s">
        <v>99</v>
      </c>
      <c r="BM58" s="39" t="s">
        <v>99</v>
      </c>
      <c r="BN58" s="47" t="s">
        <v>100</v>
      </c>
      <c r="BO58" s="39" t="s">
        <v>99</v>
      </c>
      <c r="BP58" s="35">
        <f>IFERROR(__xludf.DUMMYFUNCTION("IFERROR(
  INDEX(
    FILTER(X58:BK58, ISNUMBER(X58:BK58)),
    COUNTA(FILTER(X58:BK58, ISNUMBER(X58:BK58)))
  ),
  BK58
)"),1.0)</f>
        <v>1</v>
      </c>
      <c r="BQ58" s="45"/>
      <c r="BR58" s="45"/>
      <c r="BS58" s="45"/>
      <c r="BT58" s="45"/>
      <c r="BU58" s="45"/>
      <c r="BV58" s="45"/>
    </row>
    <row r="59">
      <c r="A59" s="27">
        <v>49.0</v>
      </c>
      <c r="B59" s="60" t="s">
        <v>306</v>
      </c>
      <c r="C59" s="60">
        <v>1115.0</v>
      </c>
      <c r="D59" s="60" t="s">
        <v>306</v>
      </c>
      <c r="E59" s="60">
        <v>1115.0</v>
      </c>
      <c r="F59" s="29" t="str">
        <f>IFERROR(VLOOKUP(M59:M132,'R22 RELATÓRIO ACC'!B:F,5,FALSE),"NOT PUBLISHED")</f>
        <v>V40</v>
      </c>
      <c r="G59" s="29" t="str">
        <f>IFERROR(VLOOKUP(M59:M130,'R22 RELATÓRIO ACC'!B:P,15,FALSE),"NOT PUBLISHED")</f>
        <v>06/05/2026</v>
      </c>
      <c r="H59" s="29" t="str">
        <f>IFERROR(VLOOKUP(N59:N132,'RELATÓRIO ACC'!B:F,5,FALSE),"NOT PUBLISHED")</f>
        <v>V3</v>
      </c>
      <c r="I59" s="29" t="str">
        <f>IFERROR(VLOOKUP(N59:N130,'RELATÓRIO ACC'!B:P,15,FALSE),"NOT PUBLISHED")</f>
        <v>13/07/2026</v>
      </c>
      <c r="J59" s="29">
        <v>46059.0</v>
      </c>
      <c r="K59" s="30" t="s">
        <v>307</v>
      </c>
      <c r="L59" s="30" t="s">
        <v>123</v>
      </c>
      <c r="M59" s="31" t="s">
        <v>308</v>
      </c>
      <c r="N59" s="31" t="s">
        <v>309</v>
      </c>
      <c r="O59" s="30" t="s">
        <v>310</v>
      </c>
      <c r="P59" s="30" t="b">
        <v>0</v>
      </c>
      <c r="Q59" s="30" t="s">
        <v>153</v>
      </c>
      <c r="R59" s="30" t="s">
        <v>77</v>
      </c>
      <c r="S59" s="30"/>
      <c r="T59" s="30"/>
      <c r="U59" s="30"/>
      <c r="V59" s="29"/>
      <c r="W59" s="29">
        <v>45869.0</v>
      </c>
      <c r="X59" s="30" t="s">
        <v>78</v>
      </c>
      <c r="Y59" s="32">
        <v>0.5</v>
      </c>
      <c r="Z59" s="32">
        <v>0.31</v>
      </c>
      <c r="AA59" s="32">
        <v>0.63</v>
      </c>
      <c r="AB59" s="32">
        <v>0.81</v>
      </c>
      <c r="AC59" s="32">
        <v>0.94</v>
      </c>
      <c r="AD59" s="32">
        <v>1.0</v>
      </c>
      <c r="AE59" s="32">
        <v>1.0</v>
      </c>
      <c r="AF59" s="32">
        <v>1.0</v>
      </c>
      <c r="AG59" s="32">
        <v>1.0</v>
      </c>
      <c r="AH59" s="32">
        <v>1.0</v>
      </c>
      <c r="AI59" s="32">
        <v>1.0</v>
      </c>
      <c r="AJ59" s="32">
        <v>1.0</v>
      </c>
      <c r="AK59" s="32">
        <v>1.0</v>
      </c>
      <c r="AL59" s="32">
        <v>1.0</v>
      </c>
      <c r="AM59" s="32">
        <v>1.0</v>
      </c>
      <c r="AN59" s="32">
        <v>1.0</v>
      </c>
      <c r="AO59" s="32">
        <v>1.0</v>
      </c>
      <c r="AP59" s="32">
        <v>1.0</v>
      </c>
      <c r="AQ59" s="32">
        <v>1.0</v>
      </c>
      <c r="AR59" s="32">
        <v>1.0</v>
      </c>
      <c r="AS59" s="32">
        <v>1.0</v>
      </c>
      <c r="AT59" s="32">
        <v>1.0</v>
      </c>
      <c r="AU59" s="32">
        <v>1.0</v>
      </c>
      <c r="AV59" s="32">
        <v>1.0</v>
      </c>
      <c r="AW59" s="32">
        <v>1.0</v>
      </c>
      <c r="AX59" s="32">
        <v>1.0</v>
      </c>
      <c r="AY59" s="32">
        <v>1.0</v>
      </c>
      <c r="AZ59" s="32">
        <v>1.0</v>
      </c>
      <c r="BA59" s="39" t="s">
        <v>99</v>
      </c>
      <c r="BB59" s="39" t="s">
        <v>99</v>
      </c>
      <c r="BC59" s="39" t="s">
        <v>99</v>
      </c>
      <c r="BD59" s="39" t="s">
        <v>99</v>
      </c>
      <c r="BE59" s="39" t="s">
        <v>99</v>
      </c>
      <c r="BF59" s="39" t="s">
        <v>99</v>
      </c>
      <c r="BG59" s="39" t="s">
        <v>99</v>
      </c>
      <c r="BH59" s="39" t="s">
        <v>99</v>
      </c>
      <c r="BI59" s="39" t="s">
        <v>99</v>
      </c>
      <c r="BJ59" s="39" t="s">
        <v>99</v>
      </c>
      <c r="BK59" s="39" t="s">
        <v>99</v>
      </c>
      <c r="BL59" s="39" t="s">
        <v>99</v>
      </c>
      <c r="BM59" s="39" t="s">
        <v>99</v>
      </c>
      <c r="BN59" s="47" t="s">
        <v>100</v>
      </c>
      <c r="BO59" s="39" t="s">
        <v>99</v>
      </c>
      <c r="BP59" s="35">
        <f>IFERROR(__xludf.DUMMYFUNCTION("IFERROR(
  INDEX(
    FILTER(X59:BK59, ISNUMBER(X59:BK59)),
    COUNTA(FILTER(X59:BK59, ISNUMBER(X59:BK59)))
  ),
  BK59
)"),1.0)</f>
        <v>1</v>
      </c>
      <c r="BQ59" s="45"/>
      <c r="BR59" s="45"/>
      <c r="BS59" s="45"/>
      <c r="BT59" s="45"/>
      <c r="BU59" s="45"/>
      <c r="BV59" s="45"/>
    </row>
    <row r="60">
      <c r="A60" s="27">
        <v>50.0</v>
      </c>
      <c r="B60" s="60" t="s">
        <v>306</v>
      </c>
      <c r="C60" s="60">
        <v>1115.0</v>
      </c>
      <c r="D60" s="60" t="s">
        <v>306</v>
      </c>
      <c r="E60" s="60">
        <v>1115.0</v>
      </c>
      <c r="F60" s="29" t="str">
        <f>IFERROR(VLOOKUP(M60:M133,'R22 RELATÓRIO ACC'!B:F,5,FALSE),"NOT PUBLISHED")</f>
        <v>V37</v>
      </c>
      <c r="G60" s="29" t="str">
        <f>IFERROR(VLOOKUP(M60:M131,'R22 RELATÓRIO ACC'!B:P,15,FALSE),"NOT PUBLISHED")</f>
        <v>10/04/2026</v>
      </c>
      <c r="H60" s="29" t="str">
        <f>IFERROR(VLOOKUP(N60:N133,'RELATÓRIO ACC'!B:F,5,FALSE),"NOT PUBLISHED")</f>
        <v>V1</v>
      </c>
      <c r="I60" s="29" t="str">
        <f>IFERROR(VLOOKUP(N60:N131,'RELATÓRIO ACC'!B:P,15,FALSE),"NOT PUBLISHED")</f>
        <v>20/05/2026</v>
      </c>
      <c r="J60" s="29">
        <v>45860.0</v>
      </c>
      <c r="K60" s="30" t="s">
        <v>122</v>
      </c>
      <c r="L60" s="30" t="s">
        <v>123</v>
      </c>
      <c r="M60" s="31" t="s">
        <v>311</v>
      </c>
      <c r="N60" s="31" t="s">
        <v>312</v>
      </c>
      <c r="O60" s="30" t="s">
        <v>313</v>
      </c>
      <c r="P60" s="30" t="b">
        <v>0</v>
      </c>
      <c r="Q60" s="30" t="s">
        <v>153</v>
      </c>
      <c r="R60" s="30" t="s">
        <v>77</v>
      </c>
      <c r="S60" s="30"/>
      <c r="T60" s="30"/>
      <c r="U60" s="30"/>
      <c r="V60" s="50"/>
      <c r="W60" s="50">
        <v>45869.0</v>
      </c>
      <c r="X60" s="30" t="s">
        <v>78</v>
      </c>
      <c r="Y60" s="32">
        <v>0.69</v>
      </c>
      <c r="Z60" s="32">
        <v>0.5</v>
      </c>
      <c r="AA60" s="32">
        <v>0.56</v>
      </c>
      <c r="AB60" s="32">
        <v>0.75</v>
      </c>
      <c r="AC60" s="32">
        <v>0.94</v>
      </c>
      <c r="AD60" s="32">
        <v>1.0</v>
      </c>
      <c r="AE60" s="32">
        <v>1.0</v>
      </c>
      <c r="AF60" s="32">
        <v>1.0</v>
      </c>
      <c r="AG60" s="32">
        <v>1.0</v>
      </c>
      <c r="AH60" s="32">
        <v>1.0</v>
      </c>
      <c r="AI60" s="32">
        <v>1.0</v>
      </c>
      <c r="AJ60" s="32">
        <v>1.0</v>
      </c>
      <c r="AK60" s="32">
        <v>1.0</v>
      </c>
      <c r="AL60" s="32">
        <v>1.0</v>
      </c>
      <c r="AM60" s="32">
        <v>1.0</v>
      </c>
      <c r="AN60" s="32">
        <v>1.0</v>
      </c>
      <c r="AO60" s="32">
        <v>1.0</v>
      </c>
      <c r="AP60" s="32">
        <v>1.0</v>
      </c>
      <c r="AQ60" s="32">
        <v>1.0</v>
      </c>
      <c r="AR60" s="32">
        <v>1.0</v>
      </c>
      <c r="AS60" s="32">
        <v>1.0</v>
      </c>
      <c r="AT60" s="32">
        <v>1.0</v>
      </c>
      <c r="AU60" s="32">
        <v>1.0</v>
      </c>
      <c r="AV60" s="32">
        <v>1.0</v>
      </c>
      <c r="AW60" s="32">
        <v>1.0</v>
      </c>
      <c r="AX60" s="32">
        <v>1.0</v>
      </c>
      <c r="AY60" s="32">
        <v>1.0</v>
      </c>
      <c r="AZ60" s="32">
        <v>1.0</v>
      </c>
      <c r="BA60" s="39" t="s">
        <v>99</v>
      </c>
      <c r="BB60" s="39" t="s">
        <v>99</v>
      </c>
      <c r="BC60" s="39" t="s">
        <v>99</v>
      </c>
      <c r="BD60" s="39" t="s">
        <v>99</v>
      </c>
      <c r="BE60" s="39" t="s">
        <v>99</v>
      </c>
      <c r="BF60" s="39" t="s">
        <v>99</v>
      </c>
      <c r="BG60" s="39" t="s">
        <v>99</v>
      </c>
      <c r="BH60" s="39" t="s">
        <v>99</v>
      </c>
      <c r="BI60" s="39" t="s">
        <v>99</v>
      </c>
      <c r="BJ60" s="39" t="s">
        <v>99</v>
      </c>
      <c r="BK60" s="39" t="s">
        <v>99</v>
      </c>
      <c r="BL60" s="39" t="s">
        <v>99</v>
      </c>
      <c r="BM60" s="39" t="s">
        <v>99</v>
      </c>
      <c r="BN60" s="47" t="s">
        <v>100</v>
      </c>
      <c r="BO60" s="39" t="s">
        <v>99</v>
      </c>
      <c r="BP60" s="35">
        <f>IFERROR(__xludf.DUMMYFUNCTION("IFERROR(
  INDEX(
    FILTER(X60:BK60, ISNUMBER(X60:BK60)),
    COUNTA(FILTER(X60:BK60, ISNUMBER(X60:BK60)))
  ),
  BK60
)"),1.0)</f>
        <v>1</v>
      </c>
    </row>
    <row r="61">
      <c r="A61" s="27">
        <v>51.0</v>
      </c>
      <c r="B61" s="49" t="s">
        <v>273</v>
      </c>
      <c r="C61" s="49">
        <v>1125.0</v>
      </c>
      <c r="D61" s="49" t="s">
        <v>273</v>
      </c>
      <c r="E61" s="49">
        <v>1125.0</v>
      </c>
      <c r="F61" s="29" t="str">
        <f>IFERROR(VLOOKUP(M61:M134,'R22 RELATÓRIO ACC'!B:F,5,FALSE),"NOT PUBLISHED")</f>
        <v>V3</v>
      </c>
      <c r="G61" s="29" t="str">
        <f>IFERROR(VLOOKUP(M61:M132,'R22 RELATÓRIO ACC'!B:P,15,FALSE),"NOT PUBLISHED")</f>
        <v>31/10/2025</v>
      </c>
      <c r="H61" s="29" t="str">
        <f>IFERROR(VLOOKUP(N61:N134,'RELATÓRIO ACC'!B:F,5,FALSE),"NOT PUBLISHED")</f>
        <v>V1</v>
      </c>
      <c r="I61" s="29" t="str">
        <f>IFERROR(VLOOKUP(N61:N132,'RELATÓRIO ACC'!B:P,15,FALSE),"NOT PUBLISHED")</f>
        <v>21/05/2026</v>
      </c>
      <c r="J61" s="29">
        <v>45856.0</v>
      </c>
      <c r="K61" s="30" t="s">
        <v>103</v>
      </c>
      <c r="L61" s="30" t="s">
        <v>72</v>
      </c>
      <c r="M61" s="30" t="s">
        <v>314</v>
      </c>
      <c r="N61" s="30" t="s">
        <v>314</v>
      </c>
      <c r="O61" s="30" t="s">
        <v>315</v>
      </c>
      <c r="P61" s="30" t="b">
        <v>0</v>
      </c>
      <c r="Q61" s="30" t="s">
        <v>153</v>
      </c>
      <c r="R61" s="30" t="s">
        <v>77</v>
      </c>
      <c r="S61" s="30"/>
      <c r="T61" s="30"/>
      <c r="U61" s="30"/>
      <c r="V61" s="29"/>
      <c r="W61" s="29">
        <v>45876.0</v>
      </c>
      <c r="X61" s="30" t="s">
        <v>78</v>
      </c>
      <c r="Y61" s="30" t="s">
        <v>78</v>
      </c>
      <c r="Z61" s="32">
        <v>0.71</v>
      </c>
      <c r="AA61" s="33" t="s">
        <v>79</v>
      </c>
      <c r="AB61" s="33" t="s">
        <v>79</v>
      </c>
      <c r="AC61" s="32">
        <v>1.0</v>
      </c>
      <c r="AD61" s="32">
        <v>1.0</v>
      </c>
      <c r="AE61" s="32">
        <v>1.0</v>
      </c>
      <c r="AF61" s="32">
        <v>1.0</v>
      </c>
      <c r="AG61" s="32">
        <v>1.0</v>
      </c>
      <c r="AH61" s="32">
        <v>1.0</v>
      </c>
      <c r="AI61" s="32">
        <v>1.0</v>
      </c>
      <c r="AJ61" s="32">
        <v>1.0</v>
      </c>
      <c r="AK61" s="32">
        <v>1.0</v>
      </c>
      <c r="AL61" s="32">
        <v>1.0</v>
      </c>
      <c r="AM61" s="32">
        <v>1.0</v>
      </c>
      <c r="AN61" s="32">
        <v>1.0</v>
      </c>
      <c r="AO61" s="32">
        <v>1.0</v>
      </c>
      <c r="AP61" s="32">
        <v>1.0</v>
      </c>
      <c r="AQ61" s="32">
        <v>1.0</v>
      </c>
      <c r="AR61" s="32">
        <v>1.0</v>
      </c>
      <c r="AS61" s="32">
        <v>1.0</v>
      </c>
      <c r="AT61" s="32">
        <v>1.0</v>
      </c>
      <c r="AU61" s="32">
        <v>1.0</v>
      </c>
      <c r="AV61" s="32">
        <v>1.0</v>
      </c>
      <c r="AW61" s="32">
        <v>1.0</v>
      </c>
      <c r="AX61" s="32">
        <v>1.0</v>
      </c>
      <c r="AY61" s="32">
        <v>1.0</v>
      </c>
      <c r="AZ61" s="32">
        <v>1.0</v>
      </c>
      <c r="BA61" s="39" t="s">
        <v>99</v>
      </c>
      <c r="BB61" s="39" t="s">
        <v>99</v>
      </c>
      <c r="BC61" s="39" t="s">
        <v>99</v>
      </c>
      <c r="BD61" s="39" t="s">
        <v>99</v>
      </c>
      <c r="BE61" s="39" t="s">
        <v>99</v>
      </c>
      <c r="BF61" s="39" t="s">
        <v>99</v>
      </c>
      <c r="BG61" s="39" t="s">
        <v>99</v>
      </c>
      <c r="BH61" s="39" t="s">
        <v>99</v>
      </c>
      <c r="BI61" s="39" t="s">
        <v>99</v>
      </c>
      <c r="BJ61" s="39" t="s">
        <v>99</v>
      </c>
      <c r="BK61" s="39" t="s">
        <v>99</v>
      </c>
      <c r="BL61" s="39" t="s">
        <v>99</v>
      </c>
      <c r="BM61" s="39" t="s">
        <v>99</v>
      </c>
      <c r="BN61" s="47" t="s">
        <v>100</v>
      </c>
      <c r="BO61" s="39" t="s">
        <v>99</v>
      </c>
      <c r="BP61" s="35">
        <f>IFERROR(__xludf.DUMMYFUNCTION("IFERROR(
  INDEX(
    FILTER(X61:BK61, ISNUMBER(X61:BK61)),
    COUNTA(FILTER(X61:BK61, ISNUMBER(X61:BK61)))
  ),
  BK61
)"),1.0)</f>
        <v>1</v>
      </c>
    </row>
    <row r="62">
      <c r="A62" s="27">
        <v>52.0</v>
      </c>
      <c r="B62" s="49" t="s">
        <v>273</v>
      </c>
      <c r="C62" s="49">
        <v>1125.0</v>
      </c>
      <c r="D62" s="49" t="s">
        <v>273</v>
      </c>
      <c r="E62" s="49">
        <v>1125.0</v>
      </c>
      <c r="F62" s="29" t="str">
        <f>IFERROR(VLOOKUP(M62:M135,'R22 RELATÓRIO ACC'!B:F,5,FALSE),"NOT PUBLISHED")</f>
        <v>V6</v>
      </c>
      <c r="G62" s="29" t="str">
        <f>IFERROR(VLOOKUP(M62:M133,'R22 RELATÓRIO ACC'!B:P,15,FALSE),"NOT PUBLISHED")</f>
        <v>11/02/2026</v>
      </c>
      <c r="H62" s="29" t="str">
        <f>IFERROR(VLOOKUP(N62:N135,'RELATÓRIO ACC'!B:F,5,FALSE),"NOT PUBLISHED")</f>
        <v>V1</v>
      </c>
      <c r="I62" s="29" t="str">
        <f>IFERROR(VLOOKUP(N62:N133,'RELATÓRIO ACC'!B:P,15,FALSE),"NOT PUBLISHED")</f>
        <v>21/05/2026</v>
      </c>
      <c r="J62" s="29">
        <v>45856.0</v>
      </c>
      <c r="K62" s="30" t="s">
        <v>71</v>
      </c>
      <c r="L62" s="30" t="s">
        <v>72</v>
      </c>
      <c r="M62" s="30" t="s">
        <v>316</v>
      </c>
      <c r="N62" s="30" t="s">
        <v>316</v>
      </c>
      <c r="O62" s="30" t="s">
        <v>317</v>
      </c>
      <c r="P62" s="30" t="b">
        <v>0</v>
      </c>
      <c r="Q62" s="30" t="s">
        <v>153</v>
      </c>
      <c r="R62" s="30" t="s">
        <v>77</v>
      </c>
      <c r="S62" s="30"/>
      <c r="T62" s="30"/>
      <c r="U62" s="30"/>
      <c r="V62" s="29"/>
      <c r="W62" s="29">
        <v>45876.0</v>
      </c>
      <c r="X62" s="30" t="s">
        <v>78</v>
      </c>
      <c r="Y62" s="32">
        <v>0.71</v>
      </c>
      <c r="Z62" s="32">
        <v>0.86</v>
      </c>
      <c r="AA62" s="33" t="s">
        <v>79</v>
      </c>
      <c r="AB62" s="33" t="s">
        <v>79</v>
      </c>
      <c r="AC62" s="32">
        <v>0.86</v>
      </c>
      <c r="AD62" s="32">
        <v>1.0</v>
      </c>
      <c r="AE62" s="32">
        <v>1.0</v>
      </c>
      <c r="AF62" s="32">
        <v>1.0</v>
      </c>
      <c r="AG62" s="32">
        <v>1.0</v>
      </c>
      <c r="AH62" s="32">
        <v>1.0</v>
      </c>
      <c r="AI62" s="32">
        <v>1.0</v>
      </c>
      <c r="AJ62" s="32">
        <v>1.0</v>
      </c>
      <c r="AK62" s="32">
        <v>1.0</v>
      </c>
      <c r="AL62" s="32">
        <v>1.0</v>
      </c>
      <c r="AM62" s="32">
        <v>1.0</v>
      </c>
      <c r="AN62" s="32">
        <v>1.0</v>
      </c>
      <c r="AO62" s="32">
        <v>1.0</v>
      </c>
      <c r="AP62" s="32">
        <v>1.0</v>
      </c>
      <c r="AQ62" s="32">
        <v>1.0</v>
      </c>
      <c r="AR62" s="32">
        <v>1.0</v>
      </c>
      <c r="AS62" s="32">
        <v>1.0</v>
      </c>
      <c r="AT62" s="32">
        <v>1.0</v>
      </c>
      <c r="AU62" s="32">
        <v>1.0</v>
      </c>
      <c r="AV62" s="32">
        <v>1.0</v>
      </c>
      <c r="AW62" s="32">
        <v>1.0</v>
      </c>
      <c r="AX62" s="32">
        <v>1.0</v>
      </c>
      <c r="AY62" s="32">
        <v>1.0</v>
      </c>
      <c r="AZ62" s="32">
        <v>1.0</v>
      </c>
      <c r="BA62" s="39" t="s">
        <v>99</v>
      </c>
      <c r="BB62" s="39" t="s">
        <v>99</v>
      </c>
      <c r="BC62" s="39" t="s">
        <v>99</v>
      </c>
      <c r="BD62" s="39" t="s">
        <v>99</v>
      </c>
      <c r="BE62" s="39" t="s">
        <v>99</v>
      </c>
      <c r="BF62" s="39" t="s">
        <v>99</v>
      </c>
      <c r="BG62" s="39" t="s">
        <v>99</v>
      </c>
      <c r="BH62" s="39" t="s">
        <v>99</v>
      </c>
      <c r="BI62" s="39" t="s">
        <v>99</v>
      </c>
      <c r="BJ62" s="39" t="s">
        <v>99</v>
      </c>
      <c r="BK62" s="39" t="s">
        <v>99</v>
      </c>
      <c r="BL62" s="39" t="s">
        <v>99</v>
      </c>
      <c r="BM62" s="39" t="s">
        <v>99</v>
      </c>
      <c r="BN62" s="47" t="s">
        <v>100</v>
      </c>
      <c r="BO62" s="39" t="s">
        <v>99</v>
      </c>
      <c r="BP62" s="35">
        <f>IFERROR(__xludf.DUMMYFUNCTION("IFERROR(
  INDEX(
    FILTER(X62:BK62, ISNUMBER(X62:BK62)),
    COUNTA(FILTER(X62:BK62, ISNUMBER(X62:BK62)))
  ),
  BK62
)"),1.0)</f>
        <v>1</v>
      </c>
    </row>
    <row r="63">
      <c r="A63" s="27">
        <v>53.0</v>
      </c>
      <c r="B63" s="36" t="s">
        <v>83</v>
      </c>
      <c r="C63" s="36">
        <v>1101.0</v>
      </c>
      <c r="D63" s="36" t="s">
        <v>140</v>
      </c>
      <c r="E63" s="36">
        <v>1126.0</v>
      </c>
      <c r="F63" s="29" t="str">
        <f>IFERROR(VLOOKUP(M63:M136,'R22 RELATÓRIO ACC'!B:F,5,FALSE),"NOT PUBLISHED")</f>
        <v>V14</v>
      </c>
      <c r="G63" s="29" t="str">
        <f>IFERROR(VLOOKUP(M63:M134,'R22 RELATÓRIO ACC'!B:P,15,FALSE),"NOT PUBLISHED")</f>
        <v>18/03/2026</v>
      </c>
      <c r="H63" s="29" t="str">
        <f>IFERROR(VLOOKUP(N63:N136,'RELATÓRIO ACC'!B:F,5,FALSE),"NOT PUBLISHED")</f>
        <v>V2</v>
      </c>
      <c r="I63" s="29" t="str">
        <f>IFERROR(VLOOKUP(N63:N134,'RELATÓRIO ACC'!B:P,15,FALSE),"NOT PUBLISHED")</f>
        <v>17/06/2026</v>
      </c>
      <c r="J63" s="29">
        <v>45897.0</v>
      </c>
      <c r="K63" s="30" t="s">
        <v>243</v>
      </c>
      <c r="L63" s="30" t="s">
        <v>123</v>
      </c>
      <c r="M63" s="31" t="s">
        <v>318</v>
      </c>
      <c r="N63" s="31" t="s">
        <v>319</v>
      </c>
      <c r="O63" s="30" t="s">
        <v>320</v>
      </c>
      <c r="P63" s="30" t="b">
        <v>0</v>
      </c>
      <c r="Q63" s="30" t="s">
        <v>153</v>
      </c>
      <c r="R63" s="30" t="s">
        <v>127</v>
      </c>
      <c r="S63" s="30" t="s">
        <v>128</v>
      </c>
      <c r="T63" s="30" t="s">
        <v>128</v>
      </c>
      <c r="U63" s="30" t="s">
        <v>187</v>
      </c>
      <c r="V63" s="29">
        <v>45897.0</v>
      </c>
      <c r="W63" s="29">
        <v>45898.0</v>
      </c>
      <c r="X63" s="30" t="s">
        <v>78</v>
      </c>
      <c r="Y63" s="30" t="s">
        <v>78</v>
      </c>
      <c r="Z63" s="32">
        <v>0.56</v>
      </c>
      <c r="AA63" s="32">
        <v>0.5</v>
      </c>
      <c r="AB63" s="33" t="s">
        <v>79</v>
      </c>
      <c r="AC63" s="32">
        <v>0.76</v>
      </c>
      <c r="AD63" s="33" t="s">
        <v>79</v>
      </c>
      <c r="AE63" s="32">
        <v>1.0</v>
      </c>
      <c r="AF63" s="32">
        <v>1.0</v>
      </c>
      <c r="AG63" s="32">
        <v>1.0</v>
      </c>
      <c r="AH63" s="32">
        <v>1.0</v>
      </c>
      <c r="AI63" s="32">
        <v>1.0</v>
      </c>
      <c r="AJ63" s="32">
        <v>1.0</v>
      </c>
      <c r="AK63" s="32">
        <v>1.0</v>
      </c>
      <c r="AL63" s="32">
        <v>1.0</v>
      </c>
      <c r="AM63" s="32">
        <v>1.0</v>
      </c>
      <c r="AN63" s="32">
        <v>1.0</v>
      </c>
      <c r="AO63" s="32">
        <v>1.0</v>
      </c>
      <c r="AP63" s="32">
        <v>1.0</v>
      </c>
      <c r="AQ63" s="32">
        <v>1.0</v>
      </c>
      <c r="AR63" s="32">
        <v>1.0</v>
      </c>
      <c r="AS63" s="32">
        <v>1.0</v>
      </c>
      <c r="AT63" s="32">
        <v>1.0</v>
      </c>
      <c r="AU63" s="32">
        <v>1.0</v>
      </c>
      <c r="AV63" s="32">
        <v>1.0</v>
      </c>
      <c r="AW63" s="32">
        <v>1.0</v>
      </c>
      <c r="AX63" s="32">
        <v>1.0</v>
      </c>
      <c r="AY63" s="32">
        <v>1.0</v>
      </c>
      <c r="AZ63" s="32">
        <v>1.0</v>
      </c>
      <c r="BA63" s="39" t="s">
        <v>99</v>
      </c>
      <c r="BB63" s="39" t="s">
        <v>99</v>
      </c>
      <c r="BC63" s="39" t="s">
        <v>99</v>
      </c>
      <c r="BD63" s="39" t="s">
        <v>99</v>
      </c>
      <c r="BE63" s="39" t="s">
        <v>99</v>
      </c>
      <c r="BF63" s="39" t="s">
        <v>99</v>
      </c>
      <c r="BG63" s="39" t="s">
        <v>99</v>
      </c>
      <c r="BH63" s="39" t="s">
        <v>99</v>
      </c>
      <c r="BI63" s="39" t="s">
        <v>99</v>
      </c>
      <c r="BJ63" s="39" t="s">
        <v>99</v>
      </c>
      <c r="BK63" s="39" t="s">
        <v>99</v>
      </c>
      <c r="BL63" s="39" t="s">
        <v>99</v>
      </c>
      <c r="BM63" s="39" t="s">
        <v>99</v>
      </c>
      <c r="BN63" s="47" t="s">
        <v>100</v>
      </c>
      <c r="BO63" s="39" t="s">
        <v>99</v>
      </c>
      <c r="BP63" s="35">
        <f>IFERROR(__xludf.DUMMYFUNCTION("IFERROR(
  INDEX(
    FILTER(X63:BK63, ISNUMBER(X63:BK63)),
    COUNTA(FILTER(X63:BK63, ISNUMBER(X63:BK63)))
  ),
  BK63
)"),1.0)</f>
        <v>1</v>
      </c>
    </row>
    <row r="64">
      <c r="A64" s="27">
        <v>54.0</v>
      </c>
      <c r="B64" s="63" t="s">
        <v>321</v>
      </c>
      <c r="C64" s="63"/>
      <c r="D64" s="63" t="s">
        <v>322</v>
      </c>
      <c r="E64" s="63"/>
      <c r="F64" s="29" t="str">
        <f>IFERROR(VLOOKUP(M64:M137,'R22 RELATÓRIO ACC'!B:F,5,FALSE),"NOT PUBLISHED")</f>
        <v>V11</v>
      </c>
      <c r="G64" s="29" t="str">
        <f>IFERROR(VLOOKUP(M64:M135,'R22 RELATÓRIO ACC'!B:P,15,FALSE),"NOT PUBLISHED")</f>
        <v>21/03/2026</v>
      </c>
      <c r="H64" s="29" t="str">
        <f>IFERROR(VLOOKUP(N64:N137,'RELATÓRIO ACC'!B:F,5,FALSE),"NOT PUBLISHED")</f>
        <v>V1</v>
      </c>
      <c r="I64" s="29" t="str">
        <f>IFERROR(VLOOKUP(N64:N135,'RELATÓRIO ACC'!B:P,15,FALSE),"NOT PUBLISHED")</f>
        <v>18/05/2026</v>
      </c>
      <c r="J64" s="29">
        <v>45870.0</v>
      </c>
      <c r="K64" s="30" t="s">
        <v>131</v>
      </c>
      <c r="L64" s="30" t="s">
        <v>123</v>
      </c>
      <c r="M64" s="30" t="s">
        <v>323</v>
      </c>
      <c r="N64" s="30" t="s">
        <v>324</v>
      </c>
      <c r="O64" s="30" t="s">
        <v>325</v>
      </c>
      <c r="P64" s="30" t="b">
        <v>0</v>
      </c>
      <c r="Q64" s="30" t="s">
        <v>153</v>
      </c>
      <c r="R64" s="30" t="s">
        <v>77</v>
      </c>
      <c r="S64" s="30"/>
      <c r="T64" s="30"/>
      <c r="U64" s="30"/>
      <c r="V64" s="29"/>
      <c r="W64" s="29">
        <v>45875.0</v>
      </c>
      <c r="X64" s="30" t="s">
        <v>78</v>
      </c>
      <c r="Y64" s="30" t="s">
        <v>78</v>
      </c>
      <c r="Z64" s="30" t="s">
        <v>78</v>
      </c>
      <c r="AA64" s="30" t="s">
        <v>78</v>
      </c>
      <c r="AB64" s="32">
        <v>0.59</v>
      </c>
      <c r="AC64" s="32">
        <v>0.88</v>
      </c>
      <c r="AD64" s="32">
        <v>1.0</v>
      </c>
      <c r="AE64" s="32">
        <v>1.0</v>
      </c>
      <c r="AF64" s="32">
        <v>1.0</v>
      </c>
      <c r="AG64" s="32">
        <v>1.0</v>
      </c>
      <c r="AH64" s="32">
        <v>1.0</v>
      </c>
      <c r="AI64" s="32">
        <v>1.0</v>
      </c>
      <c r="AJ64" s="32">
        <v>1.0</v>
      </c>
      <c r="AK64" s="32">
        <v>1.0</v>
      </c>
      <c r="AL64" s="32">
        <v>1.0</v>
      </c>
      <c r="AM64" s="32">
        <v>1.0</v>
      </c>
      <c r="AN64" s="32">
        <v>1.0</v>
      </c>
      <c r="AO64" s="32">
        <v>1.0</v>
      </c>
      <c r="AP64" s="32">
        <v>1.0</v>
      </c>
      <c r="AQ64" s="32">
        <v>1.0</v>
      </c>
      <c r="AR64" s="32">
        <v>1.0</v>
      </c>
      <c r="AS64" s="32">
        <v>1.0</v>
      </c>
      <c r="AT64" s="32">
        <v>1.0</v>
      </c>
      <c r="AU64" s="32">
        <v>1.0</v>
      </c>
      <c r="AV64" s="32">
        <v>1.0</v>
      </c>
      <c r="AW64" s="32">
        <v>1.0</v>
      </c>
      <c r="AX64" s="32">
        <v>1.0</v>
      </c>
      <c r="AY64" s="32">
        <v>1.0</v>
      </c>
      <c r="AZ64" s="32">
        <v>1.0</v>
      </c>
      <c r="BA64" s="39" t="s">
        <v>99</v>
      </c>
      <c r="BB64" s="39" t="s">
        <v>99</v>
      </c>
      <c r="BC64" s="39" t="s">
        <v>99</v>
      </c>
      <c r="BD64" s="39" t="s">
        <v>99</v>
      </c>
      <c r="BE64" s="39" t="s">
        <v>99</v>
      </c>
      <c r="BF64" s="39" t="s">
        <v>99</v>
      </c>
      <c r="BG64" s="39" t="s">
        <v>99</v>
      </c>
      <c r="BH64" s="39" t="s">
        <v>99</v>
      </c>
      <c r="BI64" s="39" t="s">
        <v>99</v>
      </c>
      <c r="BJ64" s="39" t="s">
        <v>99</v>
      </c>
      <c r="BK64" s="39" t="s">
        <v>99</v>
      </c>
      <c r="BL64" s="39" t="s">
        <v>99</v>
      </c>
      <c r="BM64" s="39" t="s">
        <v>99</v>
      </c>
      <c r="BN64" s="47" t="s">
        <v>100</v>
      </c>
      <c r="BO64" s="39" t="s">
        <v>99</v>
      </c>
      <c r="BP64" s="35">
        <f>IFERROR(__xludf.DUMMYFUNCTION("IFERROR(
  INDEX(
    FILTER(X64:BK64, ISNUMBER(X64:BK64)),
    COUNTA(FILTER(X64:BK64, ISNUMBER(X64:BK64)))
  ),
  BK64
)"),1.0)</f>
        <v>1</v>
      </c>
    </row>
    <row r="65">
      <c r="A65" s="27">
        <v>55.0</v>
      </c>
      <c r="B65" s="42" t="s">
        <v>326</v>
      </c>
      <c r="C65" s="42">
        <v>1104.0</v>
      </c>
      <c r="D65" s="42" t="s">
        <v>165</v>
      </c>
      <c r="E65" s="42">
        <v>1127.0</v>
      </c>
      <c r="F65" s="29" t="str">
        <f>IFERROR(VLOOKUP(M65:M138,'R22 RELATÓRIO ACC'!B:F,5,FALSE),"NOT PUBLISHED")</f>
        <v>V12</v>
      </c>
      <c r="G65" s="29" t="str">
        <f>IFERROR(VLOOKUP(M65:M136,'R22 RELATÓRIO ACC'!B:P,15,FALSE),"NOT PUBLISHED")</f>
        <v>06/04/2026</v>
      </c>
      <c r="H65" s="29" t="str">
        <f>IFERROR(VLOOKUP(N65:N138,'RELATÓRIO ACC'!B:F,5,FALSE),"NOT PUBLISHED")</f>
        <v>V1</v>
      </c>
      <c r="I65" s="29" t="str">
        <f>IFERROR(VLOOKUP(N65:N136,'RELATÓRIO ACC'!B:P,15,FALSE),"NOT PUBLISHED")</f>
        <v>15/05/2026</v>
      </c>
      <c r="J65" s="29">
        <v>45876.0</v>
      </c>
      <c r="K65" s="30" t="s">
        <v>71</v>
      </c>
      <c r="L65" s="30" t="s">
        <v>123</v>
      </c>
      <c r="M65" s="31" t="s">
        <v>327</v>
      </c>
      <c r="N65" s="31" t="s">
        <v>328</v>
      </c>
      <c r="O65" s="30" t="s">
        <v>329</v>
      </c>
      <c r="P65" s="30" t="b">
        <v>0</v>
      </c>
      <c r="Q65" s="30" t="s">
        <v>169</v>
      </c>
      <c r="R65" s="30" t="s">
        <v>77</v>
      </c>
      <c r="S65" s="30"/>
      <c r="T65" s="30"/>
      <c r="U65" s="30"/>
      <c r="V65" s="50"/>
      <c r="W65" s="50">
        <v>45876.0</v>
      </c>
      <c r="X65" s="30" t="s">
        <v>78</v>
      </c>
      <c r="Y65" s="30" t="s">
        <v>78</v>
      </c>
      <c r="Z65" s="30" t="s">
        <v>78</v>
      </c>
      <c r="AA65" s="30" t="s">
        <v>78</v>
      </c>
      <c r="AB65" s="30" t="s">
        <v>78</v>
      </c>
      <c r="AC65" s="30" t="s">
        <v>78</v>
      </c>
      <c r="AD65" s="56">
        <v>1.0</v>
      </c>
      <c r="AE65" s="32">
        <v>1.0</v>
      </c>
      <c r="AF65" s="32">
        <v>1.0</v>
      </c>
      <c r="AG65" s="32">
        <v>1.0</v>
      </c>
      <c r="AH65" s="32">
        <v>1.0</v>
      </c>
      <c r="AI65" s="32">
        <v>1.0</v>
      </c>
      <c r="AJ65" s="32">
        <v>1.0</v>
      </c>
      <c r="AK65" s="32">
        <v>1.0</v>
      </c>
      <c r="AL65" s="32">
        <v>1.0</v>
      </c>
      <c r="AM65" s="32">
        <v>1.0</v>
      </c>
      <c r="AN65" s="32">
        <v>1.0</v>
      </c>
      <c r="AO65" s="32">
        <v>1.0</v>
      </c>
      <c r="AP65" s="32">
        <v>1.0</v>
      </c>
      <c r="AQ65" s="32">
        <v>1.0</v>
      </c>
      <c r="AR65" s="32">
        <v>1.0</v>
      </c>
      <c r="AS65" s="32">
        <v>1.0</v>
      </c>
      <c r="AT65" s="32">
        <v>1.0</v>
      </c>
      <c r="AU65" s="32">
        <v>1.0</v>
      </c>
      <c r="AV65" s="32">
        <v>1.0</v>
      </c>
      <c r="AW65" s="32">
        <v>1.0</v>
      </c>
      <c r="AX65" s="32">
        <v>1.0</v>
      </c>
      <c r="AY65" s="32">
        <v>1.0</v>
      </c>
      <c r="AZ65" s="32">
        <v>1.0</v>
      </c>
      <c r="BA65" s="39" t="s">
        <v>99</v>
      </c>
      <c r="BB65" s="39" t="s">
        <v>99</v>
      </c>
      <c r="BC65" s="39" t="s">
        <v>99</v>
      </c>
      <c r="BD65" s="39" t="s">
        <v>99</v>
      </c>
      <c r="BE65" s="39" t="s">
        <v>99</v>
      </c>
      <c r="BF65" s="39" t="s">
        <v>99</v>
      </c>
      <c r="BG65" s="39" t="s">
        <v>99</v>
      </c>
      <c r="BH65" s="39" t="s">
        <v>99</v>
      </c>
      <c r="BI65" s="39" t="s">
        <v>99</v>
      </c>
      <c r="BJ65" s="39" t="s">
        <v>99</v>
      </c>
      <c r="BK65" s="39" t="s">
        <v>99</v>
      </c>
      <c r="BL65" s="39" t="s">
        <v>99</v>
      </c>
      <c r="BM65" s="39" t="s">
        <v>99</v>
      </c>
      <c r="BN65" s="47" t="s">
        <v>100</v>
      </c>
      <c r="BO65" s="39" t="s">
        <v>99</v>
      </c>
      <c r="BP65" s="35">
        <f>IFERROR(__xludf.DUMMYFUNCTION("IFERROR(
  INDEX(
    FILTER(X65:BK65, ISNUMBER(X65:BK65)),
    COUNTA(FILTER(X65:BK65, ISNUMBER(X65:BK65)))
  ),
  BK65
)"),1.0)</f>
        <v>1</v>
      </c>
    </row>
    <row r="66">
      <c r="A66" s="27">
        <v>56.0</v>
      </c>
      <c r="B66" s="42" t="s">
        <v>326</v>
      </c>
      <c r="C66" s="42">
        <v>1104.0</v>
      </c>
      <c r="D66" s="42" t="s">
        <v>165</v>
      </c>
      <c r="E66" s="42">
        <v>1127.0</v>
      </c>
      <c r="F66" s="29" t="str">
        <f>IFERROR(VLOOKUP(M66:M139,'R22 RELATÓRIO ACC'!B:F,5,FALSE),"NOT PUBLISHED")</f>
        <v>V12</v>
      </c>
      <c r="G66" s="29" t="str">
        <f>IFERROR(VLOOKUP(M66:M137,'R22 RELATÓRIO ACC'!B:P,15,FALSE),"NOT PUBLISHED")</f>
        <v>08/04/2026</v>
      </c>
      <c r="H66" s="29" t="str">
        <f>IFERROR(VLOOKUP(N66:N139,'RELATÓRIO ACC'!B:F,5,FALSE),"NOT PUBLISHED")</f>
        <v>V1</v>
      </c>
      <c r="I66" s="29" t="str">
        <f>IFERROR(VLOOKUP(N66:N137,'RELATÓRIO ACC'!B:P,15,FALSE),"NOT PUBLISHED")</f>
        <v>15/05/2026</v>
      </c>
      <c r="J66" s="29">
        <v>45840.0</v>
      </c>
      <c r="K66" s="30" t="s">
        <v>284</v>
      </c>
      <c r="L66" s="30" t="s">
        <v>123</v>
      </c>
      <c r="M66" s="31" t="s">
        <v>330</v>
      </c>
      <c r="N66" s="31" t="s">
        <v>331</v>
      </c>
      <c r="O66" s="30" t="s">
        <v>332</v>
      </c>
      <c r="P66" s="30" t="b">
        <v>0</v>
      </c>
      <c r="Q66" s="30" t="s">
        <v>169</v>
      </c>
      <c r="R66" s="30" t="s">
        <v>77</v>
      </c>
      <c r="S66" s="30"/>
      <c r="T66" s="30"/>
      <c r="U66" s="30"/>
      <c r="V66" s="29"/>
      <c r="W66" s="29">
        <v>45873.0</v>
      </c>
      <c r="X66" s="30" t="s">
        <v>78</v>
      </c>
      <c r="Y66" s="30" t="s">
        <v>78</v>
      </c>
      <c r="Z66" s="30" t="s">
        <v>78</v>
      </c>
      <c r="AA66" s="30" t="s">
        <v>78</v>
      </c>
      <c r="AB66" s="32">
        <v>1.0</v>
      </c>
      <c r="AC66" s="33" t="s">
        <v>79</v>
      </c>
      <c r="AD66" s="32">
        <v>1.0</v>
      </c>
      <c r="AE66" s="32">
        <v>1.0</v>
      </c>
      <c r="AF66" s="32">
        <v>1.0</v>
      </c>
      <c r="AG66" s="32">
        <v>1.0</v>
      </c>
      <c r="AH66" s="32">
        <v>1.0</v>
      </c>
      <c r="AI66" s="32">
        <v>1.0</v>
      </c>
      <c r="AJ66" s="32">
        <v>1.0</v>
      </c>
      <c r="AK66" s="32">
        <v>1.0</v>
      </c>
      <c r="AL66" s="32">
        <v>1.0</v>
      </c>
      <c r="AM66" s="32">
        <v>1.0</v>
      </c>
      <c r="AN66" s="32">
        <v>1.0</v>
      </c>
      <c r="AO66" s="32">
        <v>1.0</v>
      </c>
      <c r="AP66" s="32">
        <v>1.0</v>
      </c>
      <c r="AQ66" s="32">
        <v>1.0</v>
      </c>
      <c r="AR66" s="32">
        <v>1.0</v>
      </c>
      <c r="AS66" s="32">
        <v>1.0</v>
      </c>
      <c r="AT66" s="32">
        <v>1.0</v>
      </c>
      <c r="AU66" s="32">
        <v>1.0</v>
      </c>
      <c r="AV66" s="32">
        <v>1.0</v>
      </c>
      <c r="AW66" s="32">
        <v>1.0</v>
      </c>
      <c r="AX66" s="32">
        <v>1.0</v>
      </c>
      <c r="AY66" s="32">
        <v>1.0</v>
      </c>
      <c r="AZ66" s="32">
        <v>1.0</v>
      </c>
      <c r="BA66" s="39" t="s">
        <v>99</v>
      </c>
      <c r="BB66" s="39" t="s">
        <v>99</v>
      </c>
      <c r="BC66" s="39" t="s">
        <v>99</v>
      </c>
      <c r="BD66" s="39" t="s">
        <v>99</v>
      </c>
      <c r="BE66" s="39" t="s">
        <v>99</v>
      </c>
      <c r="BF66" s="39" t="s">
        <v>99</v>
      </c>
      <c r="BG66" s="39" t="s">
        <v>99</v>
      </c>
      <c r="BH66" s="39" t="s">
        <v>99</v>
      </c>
      <c r="BI66" s="39" t="s">
        <v>99</v>
      </c>
      <c r="BJ66" s="39" t="s">
        <v>99</v>
      </c>
      <c r="BK66" s="39" t="s">
        <v>99</v>
      </c>
      <c r="BL66" s="39" t="s">
        <v>99</v>
      </c>
      <c r="BM66" s="39" t="s">
        <v>99</v>
      </c>
      <c r="BN66" s="47" t="s">
        <v>100</v>
      </c>
      <c r="BO66" s="39" t="s">
        <v>99</v>
      </c>
      <c r="BP66" s="35">
        <f>IFERROR(__xludf.DUMMYFUNCTION("IFERROR(
  INDEX(
    FILTER(X66:BK66, ISNUMBER(X66:BK66)),
    COUNTA(FILTER(X66:BK66, ISNUMBER(X66:BK66)))
  ),
  BK66
)"),1.0)</f>
        <v>1</v>
      </c>
    </row>
    <row r="67" ht="15.75" customHeight="1">
      <c r="A67" s="27">
        <v>57.0</v>
      </c>
      <c r="B67" s="42" t="s">
        <v>326</v>
      </c>
      <c r="C67" s="42">
        <v>1104.0</v>
      </c>
      <c r="D67" s="42" t="s">
        <v>165</v>
      </c>
      <c r="E67" s="42"/>
      <c r="F67" s="29" t="str">
        <f>IFERROR(VLOOKUP(M67:M140,'R22 RELATÓRIO ACC'!B:F,5,FALSE),"NOT PUBLISHED")</f>
        <v>V9</v>
      </c>
      <c r="G67" s="29" t="str">
        <f>IFERROR(VLOOKUP(M67:M138,'R22 RELATÓRIO ACC'!B:P,15,FALSE),"NOT PUBLISHED")</f>
        <v>10/04/2026</v>
      </c>
      <c r="H67" s="29" t="str">
        <f>IFERROR(VLOOKUP(N67:N140,'RELATÓRIO ACC'!B:F,5,FALSE),"NOT PUBLISHED")</f>
        <v>V1</v>
      </c>
      <c r="I67" s="29" t="str">
        <f>IFERROR(VLOOKUP(N67:N138,'RELATÓRIO ACC'!B:P,15,FALSE),"NOT PUBLISHED")</f>
        <v>15/05/2026</v>
      </c>
      <c r="J67" s="29">
        <v>45898.0</v>
      </c>
      <c r="K67" s="30" t="s">
        <v>94</v>
      </c>
      <c r="L67" s="30" t="s">
        <v>72</v>
      </c>
      <c r="M67" s="31" t="s">
        <v>333</v>
      </c>
      <c r="N67" s="31" t="s">
        <v>334</v>
      </c>
      <c r="O67" s="30" t="s">
        <v>335</v>
      </c>
      <c r="P67" s="30" t="b">
        <v>0</v>
      </c>
      <c r="Q67" s="30" t="s">
        <v>169</v>
      </c>
      <c r="R67" s="30" t="s">
        <v>127</v>
      </c>
      <c r="S67" s="30" t="s">
        <v>128</v>
      </c>
      <c r="T67" s="30" t="s">
        <v>128</v>
      </c>
      <c r="U67" s="30" t="s">
        <v>187</v>
      </c>
      <c r="V67" s="29">
        <v>45898.0</v>
      </c>
      <c r="W67" s="29">
        <v>45898.0</v>
      </c>
      <c r="X67" s="30" t="s">
        <v>78</v>
      </c>
      <c r="Y67" s="30" t="s">
        <v>78</v>
      </c>
      <c r="Z67" s="30" t="s">
        <v>78</v>
      </c>
      <c r="AA67" s="30" t="s">
        <v>78</v>
      </c>
      <c r="AB67" s="30" t="s">
        <v>78</v>
      </c>
      <c r="AC67" s="30" t="s">
        <v>78</v>
      </c>
      <c r="AD67" s="30" t="s">
        <v>78</v>
      </c>
      <c r="AE67" s="32">
        <v>1.0</v>
      </c>
      <c r="AF67" s="32">
        <v>1.0</v>
      </c>
      <c r="AG67" s="32">
        <v>1.0</v>
      </c>
      <c r="AH67" s="32">
        <v>1.0</v>
      </c>
      <c r="AI67" s="32">
        <v>1.0</v>
      </c>
      <c r="AJ67" s="32">
        <v>1.0</v>
      </c>
      <c r="AK67" s="32">
        <v>1.0</v>
      </c>
      <c r="AL67" s="32">
        <v>1.0</v>
      </c>
      <c r="AM67" s="32">
        <v>1.0</v>
      </c>
      <c r="AN67" s="32">
        <v>1.0</v>
      </c>
      <c r="AO67" s="32">
        <v>1.0</v>
      </c>
      <c r="AP67" s="32">
        <v>1.0</v>
      </c>
      <c r="AQ67" s="32">
        <v>1.0</v>
      </c>
      <c r="AR67" s="32">
        <v>1.0</v>
      </c>
      <c r="AS67" s="32">
        <v>1.0</v>
      </c>
      <c r="AT67" s="32">
        <v>1.0</v>
      </c>
      <c r="AU67" s="32">
        <v>1.0</v>
      </c>
      <c r="AV67" s="32">
        <v>1.0</v>
      </c>
      <c r="AW67" s="32">
        <v>1.0</v>
      </c>
      <c r="AX67" s="32">
        <v>1.0</v>
      </c>
      <c r="AY67" s="32">
        <v>1.0</v>
      </c>
      <c r="AZ67" s="32">
        <v>1.0</v>
      </c>
      <c r="BA67" s="39" t="s">
        <v>99</v>
      </c>
      <c r="BB67" s="39" t="s">
        <v>99</v>
      </c>
      <c r="BC67" s="39" t="s">
        <v>99</v>
      </c>
      <c r="BD67" s="39" t="s">
        <v>99</v>
      </c>
      <c r="BE67" s="39" t="s">
        <v>99</v>
      </c>
      <c r="BF67" s="39" t="s">
        <v>99</v>
      </c>
      <c r="BG67" s="39" t="s">
        <v>99</v>
      </c>
      <c r="BH67" s="39" t="s">
        <v>99</v>
      </c>
      <c r="BI67" s="39" t="s">
        <v>99</v>
      </c>
      <c r="BJ67" s="39" t="s">
        <v>99</v>
      </c>
      <c r="BK67" s="39" t="s">
        <v>99</v>
      </c>
      <c r="BL67" s="39" t="s">
        <v>99</v>
      </c>
      <c r="BM67" s="39" t="s">
        <v>99</v>
      </c>
      <c r="BN67" s="47" t="s">
        <v>100</v>
      </c>
      <c r="BO67" s="39" t="s">
        <v>99</v>
      </c>
      <c r="BP67" s="35">
        <f>IFERROR(__xludf.DUMMYFUNCTION("IFERROR(
  INDEX(
    FILTER(X67:BK67, ISNUMBER(X67:BK67)),
    COUNTA(FILTER(X67:BK67, ISNUMBER(X67:BK67)))
  ),
  BK67
)"),1.0)</f>
        <v>1</v>
      </c>
    </row>
    <row r="68" ht="15.75" customHeight="1">
      <c r="A68" s="27">
        <v>58.0</v>
      </c>
      <c r="B68" s="60" t="s">
        <v>280</v>
      </c>
      <c r="C68" s="60">
        <v>1110.0</v>
      </c>
      <c r="D68" s="60" t="s">
        <v>160</v>
      </c>
      <c r="E68" s="60">
        <v>1128.0</v>
      </c>
      <c r="F68" s="29" t="str">
        <f>IFERROR(VLOOKUP(M68:M141,'R22 RELATÓRIO ACC'!B:F,5,FALSE),"NOT PUBLISHED")</f>
        <v>V30</v>
      </c>
      <c r="G68" s="29" t="str">
        <f>IFERROR(VLOOKUP(M68:M139,'R22 RELATÓRIO ACC'!B:P,15,FALSE),"NOT PUBLISHED")</f>
        <v>26/03/2026</v>
      </c>
      <c r="H68" s="29" t="str">
        <f>IFERROR(VLOOKUP(N68:N141,'RELATÓRIO ACC'!B:F,5,FALSE),"NOT PUBLISHED")</f>
        <v>V2</v>
      </c>
      <c r="I68" s="29" t="str">
        <f>IFERROR(VLOOKUP(N68:N139,'RELATÓRIO ACC'!B:P,15,FALSE),"NOT PUBLISHED")</f>
        <v>20/05/2026</v>
      </c>
      <c r="J68" s="29">
        <v>45895.0</v>
      </c>
      <c r="K68" s="30" t="s">
        <v>200</v>
      </c>
      <c r="L68" s="30" t="s">
        <v>123</v>
      </c>
      <c r="M68" s="31" t="s">
        <v>336</v>
      </c>
      <c r="N68" s="31" t="s">
        <v>337</v>
      </c>
      <c r="O68" s="30" t="s">
        <v>338</v>
      </c>
      <c r="P68" s="30" t="b">
        <v>0</v>
      </c>
      <c r="Q68" s="30" t="s">
        <v>153</v>
      </c>
      <c r="R68" s="30" t="s">
        <v>127</v>
      </c>
      <c r="S68" s="30" t="s">
        <v>128</v>
      </c>
      <c r="T68" s="30" t="s">
        <v>128</v>
      </c>
      <c r="U68" s="30" t="s">
        <v>187</v>
      </c>
      <c r="V68" s="29">
        <v>45895.0</v>
      </c>
      <c r="W68" s="29">
        <v>45895.0</v>
      </c>
      <c r="X68" s="30" t="s">
        <v>78</v>
      </c>
      <c r="Y68" s="32">
        <v>0.75</v>
      </c>
      <c r="Z68" s="32">
        <v>0.69</v>
      </c>
      <c r="AA68" s="32">
        <v>0.69</v>
      </c>
      <c r="AB68" s="32">
        <v>0.88</v>
      </c>
      <c r="AC68" s="32">
        <v>0.88</v>
      </c>
      <c r="AD68" s="32">
        <v>0.94</v>
      </c>
      <c r="AE68" s="32">
        <v>1.0</v>
      </c>
      <c r="AF68" s="32">
        <v>1.0</v>
      </c>
      <c r="AG68" s="32">
        <v>1.0</v>
      </c>
      <c r="AH68" s="32">
        <v>1.0</v>
      </c>
      <c r="AI68" s="32">
        <v>1.0</v>
      </c>
      <c r="AJ68" s="32">
        <v>1.0</v>
      </c>
      <c r="AK68" s="32">
        <v>1.0</v>
      </c>
      <c r="AL68" s="32">
        <v>1.0</v>
      </c>
      <c r="AM68" s="32">
        <v>1.0</v>
      </c>
      <c r="AN68" s="32">
        <v>1.0</v>
      </c>
      <c r="AO68" s="32">
        <v>1.0</v>
      </c>
      <c r="AP68" s="32">
        <v>1.0</v>
      </c>
      <c r="AQ68" s="32">
        <v>1.0</v>
      </c>
      <c r="AR68" s="32">
        <v>1.0</v>
      </c>
      <c r="AS68" s="32">
        <v>1.0</v>
      </c>
      <c r="AT68" s="32">
        <v>1.0</v>
      </c>
      <c r="AU68" s="32">
        <v>1.0</v>
      </c>
      <c r="AV68" s="32">
        <v>1.0</v>
      </c>
      <c r="AW68" s="32">
        <v>1.0</v>
      </c>
      <c r="AX68" s="32">
        <v>1.0</v>
      </c>
      <c r="AY68" s="32">
        <v>1.0</v>
      </c>
      <c r="AZ68" s="32">
        <v>1.0</v>
      </c>
      <c r="BA68" s="39" t="s">
        <v>99</v>
      </c>
      <c r="BB68" s="39" t="s">
        <v>99</v>
      </c>
      <c r="BC68" s="39" t="s">
        <v>99</v>
      </c>
      <c r="BD68" s="39" t="s">
        <v>99</v>
      </c>
      <c r="BE68" s="39" t="s">
        <v>99</v>
      </c>
      <c r="BF68" s="39" t="s">
        <v>99</v>
      </c>
      <c r="BG68" s="39" t="s">
        <v>99</v>
      </c>
      <c r="BH68" s="39" t="s">
        <v>99</v>
      </c>
      <c r="BI68" s="39" t="s">
        <v>99</v>
      </c>
      <c r="BJ68" s="39" t="s">
        <v>99</v>
      </c>
      <c r="BK68" s="39" t="s">
        <v>99</v>
      </c>
      <c r="BL68" s="39" t="s">
        <v>99</v>
      </c>
      <c r="BM68" s="39" t="s">
        <v>99</v>
      </c>
      <c r="BN68" s="47" t="s">
        <v>100</v>
      </c>
      <c r="BO68" s="39" t="s">
        <v>99</v>
      </c>
      <c r="BP68" s="35">
        <f>IFERROR(__xludf.DUMMYFUNCTION("IFERROR(
  INDEX(
    FILTER(X68:BK68, ISNUMBER(X68:BK68)),
    COUNTA(FILTER(X68:BK68, ISNUMBER(X68:BK68)))
  ),
  BK68
)"),1.0)</f>
        <v>1</v>
      </c>
    </row>
    <row r="69">
      <c r="A69" s="27">
        <v>59.0</v>
      </c>
      <c r="B69" s="42" t="s">
        <v>326</v>
      </c>
      <c r="C69" s="42">
        <v>1104.0</v>
      </c>
      <c r="D69" s="42" t="s">
        <v>165</v>
      </c>
      <c r="E69" s="42">
        <v>1127.0</v>
      </c>
      <c r="F69" s="29" t="str">
        <f>IFERROR(VLOOKUP(M69:M142,'R22 RELATÓRIO ACC'!B:F,5,FALSE),"NOT PUBLISHED")</f>
        <v>V13</v>
      </c>
      <c r="G69" s="29" t="str">
        <f>IFERROR(VLOOKUP(M69:M140,'R22 RELATÓRIO ACC'!B:P,15,FALSE),"NOT PUBLISHED")</f>
        <v>02/03/2026</v>
      </c>
      <c r="H69" s="29" t="str">
        <f>IFERROR(VLOOKUP(N69:N142,'RELATÓRIO ACC'!B:F,5,FALSE),"NOT PUBLISHED")</f>
        <v>V3</v>
      </c>
      <c r="I69" s="29" t="str">
        <f>IFERROR(VLOOKUP(N69:N140,'RELATÓRIO ACC'!B:P,15,FALSE),"NOT PUBLISHED")</f>
        <v>24/06/2026</v>
      </c>
      <c r="J69" s="29">
        <v>45869.0</v>
      </c>
      <c r="K69" s="30" t="s">
        <v>339</v>
      </c>
      <c r="L69" s="30" t="s">
        <v>72</v>
      </c>
      <c r="M69" s="31" t="s">
        <v>340</v>
      </c>
      <c r="N69" s="31" t="s">
        <v>341</v>
      </c>
      <c r="O69" s="30" t="s">
        <v>342</v>
      </c>
      <c r="P69" s="30" t="b">
        <v>0</v>
      </c>
      <c r="Q69" s="30" t="s">
        <v>169</v>
      </c>
      <c r="R69" s="30" t="s">
        <v>77</v>
      </c>
      <c r="S69" s="30"/>
      <c r="T69" s="30"/>
      <c r="U69" s="30"/>
      <c r="V69" s="29"/>
      <c r="W69" s="29">
        <v>45873.0</v>
      </c>
      <c r="X69" s="30" t="s">
        <v>78</v>
      </c>
      <c r="Y69" s="30" t="s">
        <v>78</v>
      </c>
      <c r="Z69" s="32">
        <v>1.0</v>
      </c>
      <c r="AA69" s="32">
        <v>1.0</v>
      </c>
      <c r="AB69" s="32">
        <v>1.0</v>
      </c>
      <c r="AC69" s="33" t="s">
        <v>79</v>
      </c>
      <c r="AD69" s="32">
        <v>1.0</v>
      </c>
      <c r="AE69" s="32">
        <v>1.0</v>
      </c>
      <c r="AF69" s="32">
        <v>1.0</v>
      </c>
      <c r="AG69" s="32">
        <v>1.0</v>
      </c>
      <c r="AH69" s="32">
        <v>1.0</v>
      </c>
      <c r="AI69" s="32">
        <v>1.0</v>
      </c>
      <c r="AJ69" s="32">
        <v>1.0</v>
      </c>
      <c r="AK69" s="32">
        <v>1.0</v>
      </c>
      <c r="AL69" s="32">
        <v>1.0</v>
      </c>
      <c r="AM69" s="32">
        <v>1.0</v>
      </c>
      <c r="AN69" s="32">
        <v>1.0</v>
      </c>
      <c r="AO69" s="32">
        <v>1.0</v>
      </c>
      <c r="AP69" s="32">
        <v>1.0</v>
      </c>
      <c r="AQ69" s="32">
        <v>1.0</v>
      </c>
      <c r="AR69" s="32">
        <v>1.0</v>
      </c>
      <c r="AS69" s="32">
        <v>1.0</v>
      </c>
      <c r="AT69" s="32">
        <v>1.0</v>
      </c>
      <c r="AU69" s="32">
        <v>1.0</v>
      </c>
      <c r="AV69" s="32">
        <v>1.0</v>
      </c>
      <c r="AW69" s="32">
        <v>1.0</v>
      </c>
      <c r="AX69" s="32">
        <v>1.0</v>
      </c>
      <c r="AY69" s="32">
        <v>1.0</v>
      </c>
      <c r="AZ69" s="32">
        <v>1.0</v>
      </c>
      <c r="BA69" s="39" t="s">
        <v>99</v>
      </c>
      <c r="BB69" s="39" t="s">
        <v>99</v>
      </c>
      <c r="BC69" s="39" t="s">
        <v>99</v>
      </c>
      <c r="BD69" s="39" t="s">
        <v>99</v>
      </c>
      <c r="BE69" s="39" t="s">
        <v>99</v>
      </c>
      <c r="BF69" s="39" t="s">
        <v>99</v>
      </c>
      <c r="BG69" s="39" t="s">
        <v>99</v>
      </c>
      <c r="BH69" s="39" t="s">
        <v>99</v>
      </c>
      <c r="BI69" s="39" t="s">
        <v>99</v>
      </c>
      <c r="BJ69" s="39" t="s">
        <v>99</v>
      </c>
      <c r="BK69" s="39" t="s">
        <v>99</v>
      </c>
      <c r="BL69" s="39" t="s">
        <v>99</v>
      </c>
      <c r="BM69" s="39" t="s">
        <v>99</v>
      </c>
      <c r="BN69" s="47" t="s">
        <v>100</v>
      </c>
      <c r="BO69" s="39" t="s">
        <v>99</v>
      </c>
      <c r="BP69" s="35">
        <f>IFERROR(__xludf.DUMMYFUNCTION("IFERROR(
  INDEX(
    FILTER(X69:BK69, ISNUMBER(X69:BK69)),
    COUNTA(FILTER(X69:BK69, ISNUMBER(X69:BK69)))
  ),
  BK69
)"),1.0)</f>
        <v>1</v>
      </c>
    </row>
    <row r="70">
      <c r="A70" s="27">
        <v>60.0</v>
      </c>
      <c r="B70" s="49" t="s">
        <v>273</v>
      </c>
      <c r="C70" s="49">
        <v>1125.0</v>
      </c>
      <c r="D70" s="49" t="s">
        <v>273</v>
      </c>
      <c r="E70" s="49">
        <v>1125.0</v>
      </c>
      <c r="F70" s="29" t="str">
        <f>IFERROR(VLOOKUP(M70:M143,'R22 RELATÓRIO ACC'!B:F,5,FALSE),"NOT PUBLISHED")</f>
        <v>V8</v>
      </c>
      <c r="G70" s="29" t="str">
        <f>IFERROR(VLOOKUP(M70:M141,'R22 RELATÓRIO ACC'!B:P,15,FALSE),"NOT PUBLISHED")</f>
        <v>07/11/2025</v>
      </c>
      <c r="H70" s="29" t="str">
        <f>IFERROR(VLOOKUP(N70:N143,'RELATÓRIO ACC'!B:F,5,FALSE),"NOT PUBLISHED")</f>
        <v>V1</v>
      </c>
      <c r="I70" s="29" t="str">
        <f>IFERROR(VLOOKUP(N70:N141,'RELATÓRIO ACC'!B:P,15,FALSE),"NOT PUBLISHED")</f>
        <v>21/05/2026</v>
      </c>
      <c r="J70" s="29">
        <v>45856.0</v>
      </c>
      <c r="K70" s="30" t="s">
        <v>131</v>
      </c>
      <c r="L70" s="30" t="s">
        <v>72</v>
      </c>
      <c r="M70" s="30" t="s">
        <v>343</v>
      </c>
      <c r="N70" s="30" t="s">
        <v>343</v>
      </c>
      <c r="O70" s="30" t="s">
        <v>344</v>
      </c>
      <c r="P70" s="30" t="b">
        <v>0</v>
      </c>
      <c r="Q70" s="30" t="s">
        <v>153</v>
      </c>
      <c r="R70" s="30" t="s">
        <v>77</v>
      </c>
      <c r="S70" s="30"/>
      <c r="T70" s="30"/>
      <c r="U70" s="30"/>
      <c r="V70" s="29"/>
      <c r="W70" s="29">
        <v>45876.0</v>
      </c>
      <c r="X70" s="30" t="s">
        <v>78</v>
      </c>
      <c r="Y70" s="32">
        <v>0.43</v>
      </c>
      <c r="Z70" s="32">
        <v>0.71</v>
      </c>
      <c r="AA70" s="33" t="s">
        <v>79</v>
      </c>
      <c r="AB70" s="33" t="s">
        <v>79</v>
      </c>
      <c r="AC70" s="32">
        <v>0.86</v>
      </c>
      <c r="AD70" s="32">
        <v>1.0</v>
      </c>
      <c r="AE70" s="32">
        <v>1.0</v>
      </c>
      <c r="AF70" s="32">
        <v>1.0</v>
      </c>
      <c r="AG70" s="32">
        <v>1.0</v>
      </c>
      <c r="AH70" s="32">
        <v>1.0</v>
      </c>
      <c r="AI70" s="32">
        <v>1.0</v>
      </c>
      <c r="AJ70" s="32">
        <v>1.0</v>
      </c>
      <c r="AK70" s="32">
        <v>1.0</v>
      </c>
      <c r="AL70" s="32">
        <v>1.0</v>
      </c>
      <c r="AM70" s="32">
        <v>1.0</v>
      </c>
      <c r="AN70" s="32">
        <v>1.0</v>
      </c>
      <c r="AO70" s="32">
        <v>1.0</v>
      </c>
      <c r="AP70" s="32">
        <v>1.0</v>
      </c>
      <c r="AQ70" s="32">
        <v>1.0</v>
      </c>
      <c r="AR70" s="32">
        <v>1.0</v>
      </c>
      <c r="AS70" s="32">
        <v>1.0</v>
      </c>
      <c r="AT70" s="32">
        <v>1.0</v>
      </c>
      <c r="AU70" s="32">
        <v>1.0</v>
      </c>
      <c r="AV70" s="32">
        <v>1.0</v>
      </c>
      <c r="AW70" s="32">
        <v>1.0</v>
      </c>
      <c r="AX70" s="32">
        <v>1.0</v>
      </c>
      <c r="AY70" s="32">
        <v>1.0</v>
      </c>
      <c r="AZ70" s="32">
        <v>1.0</v>
      </c>
      <c r="BA70" s="39" t="s">
        <v>99</v>
      </c>
      <c r="BB70" s="39" t="s">
        <v>99</v>
      </c>
      <c r="BC70" s="39" t="s">
        <v>99</v>
      </c>
      <c r="BD70" s="39" t="s">
        <v>99</v>
      </c>
      <c r="BE70" s="39" t="s">
        <v>99</v>
      </c>
      <c r="BF70" s="39" t="s">
        <v>99</v>
      </c>
      <c r="BG70" s="39" t="s">
        <v>99</v>
      </c>
      <c r="BH70" s="39" t="s">
        <v>99</v>
      </c>
      <c r="BI70" s="39" t="s">
        <v>99</v>
      </c>
      <c r="BJ70" s="39" t="s">
        <v>99</v>
      </c>
      <c r="BK70" s="39" t="s">
        <v>99</v>
      </c>
      <c r="BL70" s="39" t="s">
        <v>99</v>
      </c>
      <c r="BM70" s="39" t="s">
        <v>99</v>
      </c>
      <c r="BN70" s="47" t="s">
        <v>100</v>
      </c>
      <c r="BO70" s="39" t="s">
        <v>99</v>
      </c>
      <c r="BP70" s="35">
        <f>IFERROR(__xludf.DUMMYFUNCTION("IFERROR(
  INDEX(
    FILTER(X70:BK70, ISNUMBER(X70:BK70)),
    COUNTA(FILTER(X70:BK70, ISNUMBER(X70:BK70)))
  ),
  BK70
)"),1.0)</f>
        <v>1</v>
      </c>
    </row>
    <row r="71">
      <c r="A71" s="27">
        <v>61.0</v>
      </c>
      <c r="B71" s="49" t="s">
        <v>273</v>
      </c>
      <c r="C71" s="49">
        <v>1125.0</v>
      </c>
      <c r="D71" s="49" t="s">
        <v>273</v>
      </c>
      <c r="E71" s="49">
        <v>1125.0</v>
      </c>
      <c r="F71" s="29" t="str">
        <f>IFERROR(VLOOKUP(M71:M144,'R22 RELATÓRIO ACC'!B:F,5,FALSE),"NOT PUBLISHED")</f>
        <v>V6</v>
      </c>
      <c r="G71" s="29" t="str">
        <f>IFERROR(VLOOKUP(M71:M142,'R22 RELATÓRIO ACC'!B:P,15,FALSE),"NOT PUBLISHED")</f>
        <v>07/11/2025</v>
      </c>
      <c r="H71" s="29" t="str">
        <f>IFERROR(VLOOKUP(N71:N144,'RELATÓRIO ACC'!B:F,5,FALSE),"NOT PUBLISHED")</f>
        <v>V1</v>
      </c>
      <c r="I71" s="29" t="str">
        <f>IFERROR(VLOOKUP(N71:N142,'RELATÓRIO ACC'!B:P,15,FALSE),"NOT PUBLISHED")</f>
        <v>21/05/2026</v>
      </c>
      <c r="J71" s="29">
        <v>45856.0</v>
      </c>
      <c r="K71" s="30" t="s">
        <v>131</v>
      </c>
      <c r="L71" s="30" t="s">
        <v>72</v>
      </c>
      <c r="M71" s="30" t="s">
        <v>345</v>
      </c>
      <c r="N71" s="30" t="s">
        <v>345</v>
      </c>
      <c r="O71" s="30" t="s">
        <v>346</v>
      </c>
      <c r="P71" s="30" t="b">
        <v>0</v>
      </c>
      <c r="Q71" s="30" t="s">
        <v>153</v>
      </c>
      <c r="R71" s="30" t="s">
        <v>77</v>
      </c>
      <c r="S71" s="30"/>
      <c r="T71" s="30"/>
      <c r="U71" s="30"/>
      <c r="V71" s="29"/>
      <c r="W71" s="29">
        <v>45876.0</v>
      </c>
      <c r="X71" s="30" t="s">
        <v>78</v>
      </c>
      <c r="Y71" s="32">
        <v>0.57</v>
      </c>
      <c r="Z71" s="32">
        <v>0.71</v>
      </c>
      <c r="AA71" s="33" t="s">
        <v>79</v>
      </c>
      <c r="AB71" s="33" t="s">
        <v>79</v>
      </c>
      <c r="AC71" s="32">
        <v>0.86</v>
      </c>
      <c r="AD71" s="32">
        <v>1.0</v>
      </c>
      <c r="AE71" s="32">
        <v>1.0</v>
      </c>
      <c r="AF71" s="32">
        <v>1.0</v>
      </c>
      <c r="AG71" s="32">
        <v>1.0</v>
      </c>
      <c r="AH71" s="32">
        <v>1.0</v>
      </c>
      <c r="AI71" s="32">
        <v>1.0</v>
      </c>
      <c r="AJ71" s="32">
        <v>1.0</v>
      </c>
      <c r="AK71" s="32">
        <v>1.0</v>
      </c>
      <c r="AL71" s="32">
        <v>1.0</v>
      </c>
      <c r="AM71" s="32">
        <v>1.0</v>
      </c>
      <c r="AN71" s="32">
        <v>1.0</v>
      </c>
      <c r="AO71" s="32">
        <v>1.0</v>
      </c>
      <c r="AP71" s="32">
        <v>1.0</v>
      </c>
      <c r="AQ71" s="32">
        <v>1.0</v>
      </c>
      <c r="AR71" s="32">
        <v>1.0</v>
      </c>
      <c r="AS71" s="32">
        <v>1.0</v>
      </c>
      <c r="AT71" s="32">
        <v>1.0</v>
      </c>
      <c r="AU71" s="32">
        <v>1.0</v>
      </c>
      <c r="AV71" s="32">
        <v>1.0</v>
      </c>
      <c r="AW71" s="32">
        <v>1.0</v>
      </c>
      <c r="AX71" s="32">
        <v>1.0</v>
      </c>
      <c r="AY71" s="32">
        <v>1.0</v>
      </c>
      <c r="AZ71" s="32">
        <v>1.0</v>
      </c>
      <c r="BA71" s="39" t="s">
        <v>99</v>
      </c>
      <c r="BB71" s="39" t="s">
        <v>99</v>
      </c>
      <c r="BC71" s="39" t="s">
        <v>99</v>
      </c>
      <c r="BD71" s="39" t="s">
        <v>99</v>
      </c>
      <c r="BE71" s="39" t="s">
        <v>99</v>
      </c>
      <c r="BF71" s="39" t="s">
        <v>99</v>
      </c>
      <c r="BG71" s="39" t="s">
        <v>99</v>
      </c>
      <c r="BH71" s="39" t="s">
        <v>99</v>
      </c>
      <c r="BI71" s="39" t="s">
        <v>99</v>
      </c>
      <c r="BJ71" s="39" t="s">
        <v>99</v>
      </c>
      <c r="BK71" s="39" t="s">
        <v>99</v>
      </c>
      <c r="BL71" s="39" t="s">
        <v>99</v>
      </c>
      <c r="BM71" s="39" t="s">
        <v>99</v>
      </c>
      <c r="BN71" s="47" t="s">
        <v>100</v>
      </c>
      <c r="BO71" s="39" t="s">
        <v>99</v>
      </c>
      <c r="BP71" s="35">
        <f>IFERROR(__xludf.DUMMYFUNCTION("IFERROR(
  INDEX(
    FILTER(X71:BK71, ISNUMBER(X71:BK71)),
    COUNTA(FILTER(X71:BK71, ISNUMBER(X71:BK71)))
  ),
  BK71
)"),1.0)</f>
        <v>1</v>
      </c>
    </row>
    <row r="72">
      <c r="A72" s="27">
        <v>62.0</v>
      </c>
      <c r="B72" s="49" t="s">
        <v>273</v>
      </c>
      <c r="C72" s="49">
        <v>1125.0</v>
      </c>
      <c r="D72" s="49" t="s">
        <v>273</v>
      </c>
      <c r="E72" s="49">
        <v>1125.0</v>
      </c>
      <c r="F72" s="29" t="str">
        <f>IFERROR(VLOOKUP(M72:M145,'R22 RELATÓRIO ACC'!B:F,5,FALSE),"NOT PUBLISHED")</f>
        <v>V7</v>
      </c>
      <c r="G72" s="29" t="str">
        <f>IFERROR(VLOOKUP(M72:M143,'R22 RELATÓRIO ACC'!B:P,15,FALSE),"NOT PUBLISHED")</f>
        <v>05/12/2025</v>
      </c>
      <c r="H72" s="29" t="str">
        <f>IFERROR(VLOOKUP(N72:N145,'RELATÓRIO ACC'!B:F,5,FALSE),"NOT PUBLISHED")</f>
        <v>V1</v>
      </c>
      <c r="I72" s="29" t="str">
        <f>IFERROR(VLOOKUP(N72:N143,'RELATÓRIO ACC'!B:P,15,FALSE),"NOT PUBLISHED")</f>
        <v>21/05/2026</v>
      </c>
      <c r="J72" s="29">
        <v>45856.0</v>
      </c>
      <c r="K72" s="30" t="s">
        <v>131</v>
      </c>
      <c r="L72" s="30" t="s">
        <v>72</v>
      </c>
      <c r="M72" s="30" t="s">
        <v>347</v>
      </c>
      <c r="N72" s="30" t="s">
        <v>347</v>
      </c>
      <c r="O72" s="30" t="s">
        <v>348</v>
      </c>
      <c r="P72" s="30" t="b">
        <v>0</v>
      </c>
      <c r="Q72" s="30" t="s">
        <v>153</v>
      </c>
      <c r="R72" s="30" t="s">
        <v>77</v>
      </c>
      <c r="S72" s="30"/>
      <c r="T72" s="30"/>
      <c r="U72" s="30"/>
      <c r="V72" s="29"/>
      <c r="W72" s="29">
        <v>45876.0</v>
      </c>
      <c r="X72" s="30" t="s">
        <v>78</v>
      </c>
      <c r="Y72" s="32">
        <v>0.57</v>
      </c>
      <c r="Z72" s="32">
        <v>0.71</v>
      </c>
      <c r="AA72" s="33" t="s">
        <v>79</v>
      </c>
      <c r="AB72" s="33" t="s">
        <v>79</v>
      </c>
      <c r="AC72" s="32">
        <v>0.86</v>
      </c>
      <c r="AD72" s="32">
        <v>1.0</v>
      </c>
      <c r="AE72" s="32">
        <v>1.0</v>
      </c>
      <c r="AF72" s="32">
        <v>1.0</v>
      </c>
      <c r="AG72" s="32">
        <v>1.0</v>
      </c>
      <c r="AH72" s="32">
        <v>1.0</v>
      </c>
      <c r="AI72" s="32">
        <v>1.0</v>
      </c>
      <c r="AJ72" s="32">
        <v>1.0</v>
      </c>
      <c r="AK72" s="32">
        <v>1.0</v>
      </c>
      <c r="AL72" s="32">
        <v>1.0</v>
      </c>
      <c r="AM72" s="32">
        <v>1.0</v>
      </c>
      <c r="AN72" s="32">
        <v>1.0</v>
      </c>
      <c r="AO72" s="32">
        <v>1.0</v>
      </c>
      <c r="AP72" s="32">
        <v>1.0</v>
      </c>
      <c r="AQ72" s="32">
        <v>1.0</v>
      </c>
      <c r="AR72" s="32">
        <v>1.0</v>
      </c>
      <c r="AS72" s="32">
        <v>1.0</v>
      </c>
      <c r="AT72" s="32">
        <v>1.0</v>
      </c>
      <c r="AU72" s="32">
        <v>1.0</v>
      </c>
      <c r="AV72" s="32">
        <v>1.0</v>
      </c>
      <c r="AW72" s="32">
        <v>1.0</v>
      </c>
      <c r="AX72" s="32">
        <v>1.0</v>
      </c>
      <c r="AY72" s="32">
        <v>1.0</v>
      </c>
      <c r="AZ72" s="32">
        <v>1.0</v>
      </c>
      <c r="BA72" s="39" t="s">
        <v>99</v>
      </c>
      <c r="BB72" s="39" t="s">
        <v>99</v>
      </c>
      <c r="BC72" s="39" t="s">
        <v>99</v>
      </c>
      <c r="BD72" s="39" t="s">
        <v>99</v>
      </c>
      <c r="BE72" s="39" t="s">
        <v>99</v>
      </c>
      <c r="BF72" s="39" t="s">
        <v>99</v>
      </c>
      <c r="BG72" s="39" t="s">
        <v>99</v>
      </c>
      <c r="BH72" s="39" t="s">
        <v>99</v>
      </c>
      <c r="BI72" s="39" t="s">
        <v>99</v>
      </c>
      <c r="BJ72" s="39" t="s">
        <v>99</v>
      </c>
      <c r="BK72" s="39" t="s">
        <v>99</v>
      </c>
      <c r="BL72" s="39" t="s">
        <v>99</v>
      </c>
      <c r="BM72" s="39" t="s">
        <v>99</v>
      </c>
      <c r="BN72" s="47" t="s">
        <v>100</v>
      </c>
      <c r="BO72" s="39" t="s">
        <v>99</v>
      </c>
      <c r="BP72" s="35">
        <f>IFERROR(__xludf.DUMMYFUNCTION("IFERROR(
  INDEX(
    FILTER(X72:BK72, ISNUMBER(X72:BK72)),
    COUNTA(FILTER(X72:BK72, ISNUMBER(X72:BK72)))
  ),
  BK72
)"),1.0)</f>
        <v>1</v>
      </c>
    </row>
    <row r="73">
      <c r="A73" s="27">
        <v>63.0</v>
      </c>
      <c r="B73" s="49" t="s">
        <v>273</v>
      </c>
      <c r="C73" s="49">
        <v>1125.0</v>
      </c>
      <c r="D73" s="49" t="s">
        <v>273</v>
      </c>
      <c r="E73" s="49">
        <v>1125.0</v>
      </c>
      <c r="F73" s="29" t="str">
        <f>IFERROR(VLOOKUP(M73:M146,'R22 RELATÓRIO ACC'!B:F,5,FALSE),"NOT PUBLISHED")</f>
        <v>V6</v>
      </c>
      <c r="G73" s="29" t="str">
        <f>IFERROR(VLOOKUP(M73:M144,'R22 RELATÓRIO ACC'!B:P,15,FALSE),"NOT PUBLISHED")</f>
        <v>07/11/2025</v>
      </c>
      <c r="H73" s="29" t="str">
        <f>IFERROR(VLOOKUP(N73:N146,'RELATÓRIO ACC'!B:F,5,FALSE),"NOT PUBLISHED")</f>
        <v>V1</v>
      </c>
      <c r="I73" s="29" t="str">
        <f>IFERROR(VLOOKUP(N73:N144,'RELATÓRIO ACC'!B:P,15,FALSE),"NOT PUBLISHED")</f>
        <v>21/05/2026</v>
      </c>
      <c r="J73" s="29">
        <v>45856.0</v>
      </c>
      <c r="K73" s="30" t="s">
        <v>131</v>
      </c>
      <c r="L73" s="30" t="s">
        <v>72</v>
      </c>
      <c r="M73" s="30" t="s">
        <v>349</v>
      </c>
      <c r="N73" s="30" t="s">
        <v>349</v>
      </c>
      <c r="O73" s="30" t="s">
        <v>350</v>
      </c>
      <c r="P73" s="30" t="b">
        <v>0</v>
      </c>
      <c r="Q73" s="30" t="s">
        <v>153</v>
      </c>
      <c r="R73" s="30" t="s">
        <v>77</v>
      </c>
      <c r="S73" s="30"/>
      <c r="T73" s="30"/>
      <c r="U73" s="30"/>
      <c r="V73" s="29"/>
      <c r="W73" s="29">
        <v>45876.0</v>
      </c>
      <c r="X73" s="30" t="s">
        <v>78</v>
      </c>
      <c r="Y73" s="32">
        <v>0.71</v>
      </c>
      <c r="Z73" s="32">
        <v>0.71</v>
      </c>
      <c r="AA73" s="33" t="s">
        <v>79</v>
      </c>
      <c r="AB73" s="33" t="s">
        <v>79</v>
      </c>
      <c r="AC73" s="32">
        <v>0.86</v>
      </c>
      <c r="AD73" s="32">
        <v>1.0</v>
      </c>
      <c r="AE73" s="32">
        <v>1.0</v>
      </c>
      <c r="AF73" s="32">
        <v>1.0</v>
      </c>
      <c r="AG73" s="32">
        <v>1.0</v>
      </c>
      <c r="AH73" s="32">
        <v>1.0</v>
      </c>
      <c r="AI73" s="32">
        <v>1.0</v>
      </c>
      <c r="AJ73" s="32">
        <v>1.0</v>
      </c>
      <c r="AK73" s="32">
        <v>1.0</v>
      </c>
      <c r="AL73" s="32">
        <v>1.0</v>
      </c>
      <c r="AM73" s="32">
        <v>1.0</v>
      </c>
      <c r="AN73" s="32">
        <v>1.0</v>
      </c>
      <c r="AO73" s="32">
        <v>1.0</v>
      </c>
      <c r="AP73" s="32">
        <v>1.0</v>
      </c>
      <c r="AQ73" s="32">
        <v>1.0</v>
      </c>
      <c r="AR73" s="32">
        <v>1.0</v>
      </c>
      <c r="AS73" s="32">
        <v>1.0</v>
      </c>
      <c r="AT73" s="32">
        <v>1.0</v>
      </c>
      <c r="AU73" s="32">
        <v>1.0</v>
      </c>
      <c r="AV73" s="32">
        <v>1.0</v>
      </c>
      <c r="AW73" s="32">
        <v>1.0</v>
      </c>
      <c r="AX73" s="32">
        <v>1.0</v>
      </c>
      <c r="AY73" s="32">
        <v>1.0</v>
      </c>
      <c r="AZ73" s="32">
        <v>1.0</v>
      </c>
      <c r="BA73" s="39" t="s">
        <v>99</v>
      </c>
      <c r="BB73" s="39" t="s">
        <v>99</v>
      </c>
      <c r="BC73" s="39" t="s">
        <v>99</v>
      </c>
      <c r="BD73" s="39" t="s">
        <v>99</v>
      </c>
      <c r="BE73" s="39" t="s">
        <v>99</v>
      </c>
      <c r="BF73" s="39" t="s">
        <v>99</v>
      </c>
      <c r="BG73" s="39" t="s">
        <v>99</v>
      </c>
      <c r="BH73" s="39" t="s">
        <v>99</v>
      </c>
      <c r="BI73" s="39" t="s">
        <v>99</v>
      </c>
      <c r="BJ73" s="39" t="s">
        <v>99</v>
      </c>
      <c r="BK73" s="39" t="s">
        <v>99</v>
      </c>
      <c r="BL73" s="39" t="s">
        <v>99</v>
      </c>
      <c r="BM73" s="39" t="s">
        <v>99</v>
      </c>
      <c r="BN73" s="47" t="s">
        <v>100</v>
      </c>
      <c r="BO73" s="39" t="s">
        <v>99</v>
      </c>
      <c r="BP73" s="35">
        <f>IFERROR(__xludf.DUMMYFUNCTION("IFERROR(
  INDEX(
    FILTER(X73:BK73, ISNUMBER(X73:BK73)),
    COUNTA(FILTER(X73:BK73, ISNUMBER(X73:BK73)))
  ),
  BK73
)"),1.0)</f>
        <v>1</v>
      </c>
    </row>
    <row r="74">
      <c r="A74" s="27">
        <v>64.0</v>
      </c>
      <c r="B74" s="49" t="s">
        <v>273</v>
      </c>
      <c r="C74" s="49">
        <v>1125.0</v>
      </c>
      <c r="D74" s="49" t="s">
        <v>273</v>
      </c>
      <c r="E74" s="49">
        <v>1125.0</v>
      </c>
      <c r="F74" s="29" t="str">
        <f>IFERROR(VLOOKUP(M74:M147,'R22 RELATÓRIO ACC'!B:F,5,FALSE),"NOT PUBLISHED")</f>
        <v>V6</v>
      </c>
      <c r="G74" s="29" t="str">
        <f>IFERROR(VLOOKUP(M74:M145,'R22 RELATÓRIO ACC'!B:P,15,FALSE),"NOT PUBLISHED")</f>
        <v>01/11/2025</v>
      </c>
      <c r="H74" s="29" t="str">
        <f>IFERROR(VLOOKUP(N74:N147,'RELATÓRIO ACC'!B:F,5,FALSE),"NOT PUBLISHED")</f>
        <v>V1</v>
      </c>
      <c r="I74" s="29" t="str">
        <f>IFERROR(VLOOKUP(N74:N145,'RELATÓRIO ACC'!B:P,15,FALSE),"NOT PUBLISHED")</f>
        <v>21/05/2026</v>
      </c>
      <c r="J74" s="29">
        <v>45856.0</v>
      </c>
      <c r="K74" s="30" t="s">
        <v>131</v>
      </c>
      <c r="L74" s="30" t="s">
        <v>72</v>
      </c>
      <c r="M74" s="30" t="s">
        <v>351</v>
      </c>
      <c r="N74" s="30" t="s">
        <v>351</v>
      </c>
      <c r="O74" s="30" t="s">
        <v>352</v>
      </c>
      <c r="P74" s="30" t="b">
        <v>0</v>
      </c>
      <c r="Q74" s="30" t="s">
        <v>153</v>
      </c>
      <c r="R74" s="30" t="s">
        <v>77</v>
      </c>
      <c r="S74" s="30"/>
      <c r="T74" s="30"/>
      <c r="U74" s="30"/>
      <c r="V74" s="29"/>
      <c r="W74" s="29">
        <v>45876.0</v>
      </c>
      <c r="X74" s="30" t="s">
        <v>78</v>
      </c>
      <c r="Y74" s="32">
        <v>0.71</v>
      </c>
      <c r="Z74" s="32">
        <v>0.86</v>
      </c>
      <c r="AA74" s="33" t="s">
        <v>79</v>
      </c>
      <c r="AB74" s="33" t="s">
        <v>79</v>
      </c>
      <c r="AC74" s="32">
        <v>1.0</v>
      </c>
      <c r="AD74" s="32">
        <v>1.0</v>
      </c>
      <c r="AE74" s="32">
        <v>1.0</v>
      </c>
      <c r="AF74" s="32">
        <v>1.0</v>
      </c>
      <c r="AG74" s="32">
        <v>1.0</v>
      </c>
      <c r="AH74" s="32">
        <v>1.0</v>
      </c>
      <c r="AI74" s="32">
        <v>1.0</v>
      </c>
      <c r="AJ74" s="32">
        <v>1.0</v>
      </c>
      <c r="AK74" s="32">
        <v>1.0</v>
      </c>
      <c r="AL74" s="32">
        <v>1.0</v>
      </c>
      <c r="AM74" s="32">
        <v>1.0</v>
      </c>
      <c r="AN74" s="32">
        <v>1.0</v>
      </c>
      <c r="AO74" s="32">
        <v>1.0</v>
      </c>
      <c r="AP74" s="32">
        <v>1.0</v>
      </c>
      <c r="AQ74" s="32">
        <v>1.0</v>
      </c>
      <c r="AR74" s="32">
        <v>1.0</v>
      </c>
      <c r="AS74" s="32">
        <v>1.0</v>
      </c>
      <c r="AT74" s="32">
        <v>1.0</v>
      </c>
      <c r="AU74" s="32">
        <v>1.0</v>
      </c>
      <c r="AV74" s="32">
        <v>1.0</v>
      </c>
      <c r="AW74" s="32">
        <v>1.0</v>
      </c>
      <c r="AX74" s="32">
        <v>1.0</v>
      </c>
      <c r="AY74" s="32">
        <v>1.0</v>
      </c>
      <c r="AZ74" s="32">
        <v>1.0</v>
      </c>
      <c r="BA74" s="39" t="s">
        <v>99</v>
      </c>
      <c r="BB74" s="39" t="s">
        <v>99</v>
      </c>
      <c r="BC74" s="39" t="s">
        <v>99</v>
      </c>
      <c r="BD74" s="39" t="s">
        <v>99</v>
      </c>
      <c r="BE74" s="39" t="s">
        <v>99</v>
      </c>
      <c r="BF74" s="39" t="s">
        <v>99</v>
      </c>
      <c r="BG74" s="39" t="s">
        <v>99</v>
      </c>
      <c r="BH74" s="39" t="s">
        <v>99</v>
      </c>
      <c r="BI74" s="39" t="s">
        <v>99</v>
      </c>
      <c r="BJ74" s="39" t="s">
        <v>99</v>
      </c>
      <c r="BK74" s="39" t="s">
        <v>99</v>
      </c>
      <c r="BL74" s="39" t="s">
        <v>99</v>
      </c>
      <c r="BM74" s="39" t="s">
        <v>99</v>
      </c>
      <c r="BN74" s="47" t="s">
        <v>100</v>
      </c>
      <c r="BO74" s="39" t="s">
        <v>99</v>
      </c>
      <c r="BP74" s="35">
        <f>IFERROR(__xludf.DUMMYFUNCTION("IFERROR(
  INDEX(
    FILTER(X74:BK74, ISNUMBER(X74:BK74)),
    COUNTA(FILTER(X74:BK74, ISNUMBER(X74:BK74)))
  ),
  BK74
)"),1.0)</f>
        <v>1</v>
      </c>
    </row>
    <row r="75">
      <c r="A75" s="27">
        <v>65.0</v>
      </c>
      <c r="B75" s="37" t="s">
        <v>353</v>
      </c>
      <c r="C75" s="37"/>
      <c r="D75" s="37" t="s">
        <v>121</v>
      </c>
      <c r="E75" s="37"/>
      <c r="F75" s="29" t="str">
        <f>IFERROR(VLOOKUP(M75:M148,'R22 RELATÓRIO ACC'!B:F,5,FALSE),"NOT PUBLISHED")</f>
        <v>V12</v>
      </c>
      <c r="G75" s="29" t="str">
        <f>IFERROR(VLOOKUP(M75:M146,'R22 RELATÓRIO ACC'!B:P,15,FALSE),"NOT PUBLISHED")</f>
        <v>05/05/2026</v>
      </c>
      <c r="H75" s="29" t="str">
        <f>IFERROR(VLOOKUP(N75:N148,'RELATÓRIO ACC'!B:F,5,FALSE),"NOT PUBLISHED")</f>
        <v>V5</v>
      </c>
      <c r="I75" s="29" t="str">
        <f>IFERROR(VLOOKUP(N75:N146,'RELATÓRIO ACC'!B:P,15,FALSE),"NOT PUBLISHED")</f>
        <v>22/06/2026</v>
      </c>
      <c r="J75" s="29">
        <v>45917.0</v>
      </c>
      <c r="K75" s="30" t="s">
        <v>103</v>
      </c>
      <c r="L75" s="30" t="s">
        <v>72</v>
      </c>
      <c r="M75" s="31" t="s">
        <v>354</v>
      </c>
      <c r="N75" s="31" t="s">
        <v>355</v>
      </c>
      <c r="O75" s="30" t="s">
        <v>356</v>
      </c>
      <c r="P75" s="30" t="b">
        <v>0</v>
      </c>
      <c r="Q75" s="30"/>
      <c r="R75" s="30"/>
      <c r="S75" s="30" t="s">
        <v>158</v>
      </c>
      <c r="T75" s="30" t="s">
        <v>158</v>
      </c>
      <c r="U75" s="30" t="s">
        <v>357</v>
      </c>
      <c r="V75" s="29">
        <v>45933.0</v>
      </c>
      <c r="W75" s="29"/>
      <c r="X75" s="30" t="s">
        <v>78</v>
      </c>
      <c r="Y75" s="30" t="s">
        <v>78</v>
      </c>
      <c r="Z75" s="30" t="s">
        <v>78</v>
      </c>
      <c r="AA75" s="30" t="s">
        <v>78</v>
      </c>
      <c r="AB75" s="30" t="s">
        <v>78</v>
      </c>
      <c r="AC75" s="30" t="s">
        <v>78</v>
      </c>
      <c r="AD75" s="30" t="s">
        <v>78</v>
      </c>
      <c r="AE75" s="30" t="s">
        <v>78</v>
      </c>
      <c r="AF75" s="30" t="s">
        <v>78</v>
      </c>
      <c r="AG75" s="32">
        <v>0.76</v>
      </c>
      <c r="AH75" s="33" t="s">
        <v>79</v>
      </c>
      <c r="AI75" s="32">
        <v>1.0</v>
      </c>
      <c r="AJ75" s="32">
        <v>1.0</v>
      </c>
      <c r="AK75" s="32">
        <v>1.0</v>
      </c>
      <c r="AL75" s="32">
        <v>1.0</v>
      </c>
      <c r="AM75" s="32">
        <v>1.0</v>
      </c>
      <c r="AN75" s="32">
        <v>1.0</v>
      </c>
      <c r="AO75" s="32">
        <v>1.0</v>
      </c>
      <c r="AP75" s="32">
        <v>1.0</v>
      </c>
      <c r="AQ75" s="32">
        <v>1.0</v>
      </c>
      <c r="AR75" s="32">
        <v>1.0</v>
      </c>
      <c r="AS75" s="32">
        <v>1.0</v>
      </c>
      <c r="AT75" s="32">
        <v>1.0</v>
      </c>
      <c r="AU75" s="32">
        <v>1.0</v>
      </c>
      <c r="AV75" s="32">
        <v>1.0</v>
      </c>
      <c r="AW75" s="32">
        <v>1.0</v>
      </c>
      <c r="AX75" s="32">
        <v>1.0</v>
      </c>
      <c r="AY75" s="32">
        <v>1.0</v>
      </c>
      <c r="AZ75" s="32">
        <v>1.0</v>
      </c>
      <c r="BA75" s="39" t="s">
        <v>99</v>
      </c>
      <c r="BB75" s="39" t="s">
        <v>99</v>
      </c>
      <c r="BC75" s="39" t="s">
        <v>99</v>
      </c>
      <c r="BD75" s="39" t="s">
        <v>99</v>
      </c>
      <c r="BE75" s="39" t="s">
        <v>99</v>
      </c>
      <c r="BF75" s="39" t="s">
        <v>99</v>
      </c>
      <c r="BG75" s="39" t="s">
        <v>99</v>
      </c>
      <c r="BH75" s="39" t="s">
        <v>99</v>
      </c>
      <c r="BI75" s="39" t="s">
        <v>99</v>
      </c>
      <c r="BJ75" s="39" t="s">
        <v>99</v>
      </c>
      <c r="BK75" s="39" t="s">
        <v>99</v>
      </c>
      <c r="BL75" s="39" t="s">
        <v>99</v>
      </c>
      <c r="BM75" s="39" t="s">
        <v>99</v>
      </c>
      <c r="BN75" s="47" t="s">
        <v>100</v>
      </c>
      <c r="BO75" s="39" t="s">
        <v>99</v>
      </c>
      <c r="BP75" s="35">
        <f>IFERROR(__xludf.DUMMYFUNCTION("IFERROR(
  INDEX(
    FILTER(X75:BK75, ISNUMBER(X75:BK75)),
    COUNTA(FILTER(X75:BK75, ISNUMBER(X75:BK75)))
  ),
  BK75
)"),1.0)</f>
        <v>1</v>
      </c>
    </row>
    <row r="76">
      <c r="A76" s="27">
        <v>66.0</v>
      </c>
      <c r="B76" s="28" t="s">
        <v>69</v>
      </c>
      <c r="C76" s="28">
        <v>1112.0</v>
      </c>
      <c r="D76" s="28" t="s">
        <v>69</v>
      </c>
      <c r="E76" s="37"/>
      <c r="F76" s="29" t="str">
        <f>IFERROR(VLOOKUP(M76:M149,'R22 RELATÓRIO ACC'!B:F,5,FALSE),"NOT PUBLISHED")</f>
        <v>V13</v>
      </c>
      <c r="G76" s="29" t="str">
        <f>IFERROR(VLOOKUP(M76:M147,'R22 RELATÓRIO ACC'!B:P,15,FALSE),"NOT PUBLISHED")</f>
        <v>12/05/2026</v>
      </c>
      <c r="H76" s="29" t="str">
        <f>IFERROR(VLOOKUP(N76:N149,'RELATÓRIO ACC'!B:F,5,FALSE),"NOT PUBLISHED")</f>
        <v>V5</v>
      </c>
      <c r="I76" s="29" t="str">
        <f>IFERROR(VLOOKUP(N76:N147,'RELATÓRIO ACC'!B:P,15,FALSE),"NOT PUBLISHED")</f>
        <v>13/07/2026</v>
      </c>
      <c r="J76" s="29">
        <v>45999.0</v>
      </c>
      <c r="K76" s="30" t="s">
        <v>71</v>
      </c>
      <c r="L76" s="30"/>
      <c r="M76" s="31" t="s">
        <v>358</v>
      </c>
      <c r="N76" s="31" t="s">
        <v>359</v>
      </c>
      <c r="O76" s="30" t="s">
        <v>360</v>
      </c>
      <c r="P76" s="30" t="b">
        <v>0</v>
      </c>
      <c r="Q76" s="30"/>
      <c r="R76" s="30"/>
      <c r="S76" s="30"/>
      <c r="T76" s="30"/>
      <c r="U76" s="30"/>
      <c r="V76" s="29"/>
      <c r="W76" s="29"/>
      <c r="X76" s="30" t="s">
        <v>78</v>
      </c>
      <c r="Y76" s="30" t="s">
        <v>78</v>
      </c>
      <c r="Z76" s="30" t="s">
        <v>78</v>
      </c>
      <c r="AA76" s="30" t="s">
        <v>78</v>
      </c>
      <c r="AB76" s="30" t="s">
        <v>78</v>
      </c>
      <c r="AC76" s="30" t="s">
        <v>78</v>
      </c>
      <c r="AD76" s="30" t="s">
        <v>78</v>
      </c>
      <c r="AE76" s="30" t="s">
        <v>78</v>
      </c>
      <c r="AF76" s="30" t="s">
        <v>78</v>
      </c>
      <c r="AG76" s="30" t="s">
        <v>78</v>
      </c>
      <c r="AH76" s="30" t="s">
        <v>78</v>
      </c>
      <c r="AI76" s="32">
        <v>0.76</v>
      </c>
      <c r="AJ76" s="35">
        <v>0.88</v>
      </c>
      <c r="AK76" s="32">
        <v>0.94</v>
      </c>
      <c r="AL76" s="34" t="s">
        <v>79</v>
      </c>
      <c r="AM76" s="34" t="s">
        <v>79</v>
      </c>
      <c r="AN76" s="35">
        <v>1.0</v>
      </c>
      <c r="AO76" s="35">
        <v>1.0</v>
      </c>
      <c r="AP76" s="35">
        <v>1.0</v>
      </c>
      <c r="AQ76" s="35">
        <v>1.0</v>
      </c>
      <c r="AR76" s="35">
        <v>1.0</v>
      </c>
      <c r="AS76" s="35">
        <v>1.0</v>
      </c>
      <c r="AT76" s="35">
        <v>1.0</v>
      </c>
      <c r="AU76" s="35">
        <v>1.0</v>
      </c>
      <c r="AV76" s="35">
        <v>1.0</v>
      </c>
      <c r="AW76" s="35">
        <v>1.0</v>
      </c>
      <c r="AX76" s="35">
        <v>1.0</v>
      </c>
      <c r="AY76" s="35">
        <v>1.0</v>
      </c>
      <c r="AZ76" s="35">
        <v>1.0</v>
      </c>
      <c r="BA76" s="39" t="s">
        <v>99</v>
      </c>
      <c r="BB76" s="39" t="s">
        <v>99</v>
      </c>
      <c r="BC76" s="39" t="s">
        <v>99</v>
      </c>
      <c r="BD76" s="39" t="s">
        <v>99</v>
      </c>
      <c r="BE76" s="39" t="s">
        <v>99</v>
      </c>
      <c r="BF76" s="39" t="s">
        <v>99</v>
      </c>
      <c r="BG76" s="39" t="s">
        <v>99</v>
      </c>
      <c r="BH76" s="39" t="s">
        <v>99</v>
      </c>
      <c r="BI76" s="39" t="s">
        <v>99</v>
      </c>
      <c r="BJ76" s="39" t="s">
        <v>99</v>
      </c>
      <c r="BK76" s="39" t="s">
        <v>99</v>
      </c>
      <c r="BL76" s="39" t="s">
        <v>99</v>
      </c>
      <c r="BM76" s="39" t="s">
        <v>99</v>
      </c>
      <c r="BN76" s="30" t="s">
        <v>100</v>
      </c>
      <c r="BO76" s="39" t="s">
        <v>99</v>
      </c>
      <c r="BP76" s="35">
        <f>IFERROR(__xludf.DUMMYFUNCTION("IFERROR(
  INDEX(
    FILTER(X76:BK76, ISNUMBER(X76:BK76)),
    COUNTA(FILTER(X76:BK76, ISNUMBER(X76:BK76)))
  ),
  BK76
)"),1.0)</f>
        <v>1</v>
      </c>
    </row>
    <row r="77">
      <c r="A77" s="27">
        <v>67.0</v>
      </c>
      <c r="B77" s="28" t="s">
        <v>69</v>
      </c>
      <c r="C77" s="28">
        <v>1112.0</v>
      </c>
      <c r="D77" s="28" t="s">
        <v>69</v>
      </c>
      <c r="E77" s="64"/>
      <c r="F77" s="29" t="str">
        <f>IFERROR(VLOOKUP(M77:M150,'R22 RELATÓRIO ACC'!B:F,5,FALSE),"NOT PUBLISHED")</f>
        <v>V7</v>
      </c>
      <c r="G77" s="29" t="str">
        <f>IFERROR(VLOOKUP(M77:M148,'R22 RELATÓRIO ACC'!B:P,15,FALSE),"NOT PUBLISHED")</f>
        <v>08/12/2025</v>
      </c>
      <c r="H77" s="29" t="str">
        <f>IFERROR(VLOOKUP(N77:N150,'RELATÓRIO ACC'!B:F,5,FALSE),"NOT PUBLISHED")</f>
        <v>V2</v>
      </c>
      <c r="I77" s="29" t="str">
        <f>IFERROR(VLOOKUP(N77:N148,'RELATÓRIO ACC'!B:P,15,FALSE),"NOT PUBLISHED")</f>
        <v>03/07/2026</v>
      </c>
      <c r="J77" s="29">
        <v>45966.0</v>
      </c>
      <c r="K77" s="30" t="s">
        <v>94</v>
      </c>
      <c r="L77" s="65"/>
      <c r="M77" s="31" t="s">
        <v>361</v>
      </c>
      <c r="N77" s="31" t="s">
        <v>362</v>
      </c>
      <c r="O77" s="65" t="s">
        <v>363</v>
      </c>
      <c r="P77" s="65" t="b">
        <v>0</v>
      </c>
      <c r="Q77" s="65"/>
      <c r="R77" s="65"/>
      <c r="S77" s="65"/>
      <c r="T77" s="65"/>
      <c r="U77" s="65"/>
      <c r="V77" s="41"/>
      <c r="W77" s="41"/>
      <c r="X77" s="30" t="s">
        <v>78</v>
      </c>
      <c r="Y77" s="30" t="s">
        <v>78</v>
      </c>
      <c r="Z77" s="30" t="s">
        <v>78</v>
      </c>
      <c r="AA77" s="30" t="s">
        <v>78</v>
      </c>
      <c r="AB77" s="30" t="s">
        <v>78</v>
      </c>
      <c r="AC77" s="30" t="s">
        <v>78</v>
      </c>
      <c r="AD77" s="30" t="s">
        <v>78</v>
      </c>
      <c r="AE77" s="30" t="s">
        <v>78</v>
      </c>
      <c r="AF77" s="30" t="s">
        <v>78</v>
      </c>
      <c r="AG77" s="30" t="s">
        <v>78</v>
      </c>
      <c r="AH77" s="30" t="s">
        <v>78</v>
      </c>
      <c r="AI77" s="32">
        <v>0.76</v>
      </c>
      <c r="AJ77" s="35">
        <v>0.88</v>
      </c>
      <c r="AK77" s="32">
        <v>1.0</v>
      </c>
      <c r="AL77" s="32">
        <v>1.0</v>
      </c>
      <c r="AM77" s="32">
        <v>1.0</v>
      </c>
      <c r="AN77" s="32">
        <v>1.0</v>
      </c>
      <c r="AO77" s="32">
        <v>1.0</v>
      </c>
      <c r="AP77" s="32">
        <v>1.0</v>
      </c>
      <c r="AQ77" s="32">
        <v>1.0</v>
      </c>
      <c r="AR77" s="32">
        <v>1.0</v>
      </c>
      <c r="AS77" s="32">
        <v>1.0</v>
      </c>
      <c r="AT77" s="32">
        <v>1.0</v>
      </c>
      <c r="AU77" s="32">
        <v>1.0</v>
      </c>
      <c r="AV77" s="32">
        <v>1.0</v>
      </c>
      <c r="AW77" s="32">
        <v>1.0</v>
      </c>
      <c r="AX77" s="32">
        <v>1.0</v>
      </c>
      <c r="AY77" s="32">
        <v>1.0</v>
      </c>
      <c r="AZ77" s="32">
        <v>1.0</v>
      </c>
      <c r="BA77" s="39" t="s">
        <v>99</v>
      </c>
      <c r="BB77" s="39" t="s">
        <v>99</v>
      </c>
      <c r="BC77" s="39" t="s">
        <v>99</v>
      </c>
      <c r="BD77" s="39" t="s">
        <v>99</v>
      </c>
      <c r="BE77" s="39" t="s">
        <v>99</v>
      </c>
      <c r="BF77" s="39" t="s">
        <v>99</v>
      </c>
      <c r="BG77" s="39" t="s">
        <v>99</v>
      </c>
      <c r="BH77" s="39" t="s">
        <v>99</v>
      </c>
      <c r="BI77" s="39" t="s">
        <v>99</v>
      </c>
      <c r="BJ77" s="39" t="s">
        <v>99</v>
      </c>
      <c r="BK77" s="39" t="s">
        <v>99</v>
      </c>
      <c r="BL77" s="39" t="s">
        <v>99</v>
      </c>
      <c r="BM77" s="39" t="s">
        <v>99</v>
      </c>
      <c r="BN77" s="30" t="s">
        <v>100</v>
      </c>
      <c r="BO77" s="39" t="s">
        <v>99</v>
      </c>
      <c r="BP77" s="35">
        <f>IFERROR(__xludf.DUMMYFUNCTION("IFERROR(
  INDEX(
    FILTER(X77:BK77, ISNUMBER(X77:BK77)),
    COUNTA(FILTER(X77:BK77, ISNUMBER(X77:BK77)))
  ),
  BK77
)"),1.0)</f>
        <v>1</v>
      </c>
    </row>
    <row r="78">
      <c r="A78" s="27">
        <v>71.0</v>
      </c>
      <c r="B78" s="42" t="s">
        <v>364</v>
      </c>
      <c r="C78" s="42" t="s">
        <v>106</v>
      </c>
      <c r="D78" s="42" t="s">
        <v>165</v>
      </c>
      <c r="F78" s="29" t="str">
        <f>IFERROR(VLOOKUP(M78:M151,'R22 RELATÓRIO ACC'!B:F,5,FALSE),"NOT PUBLISHED")</f>
        <v>V4</v>
      </c>
      <c r="G78" s="29" t="str">
        <f>IFERROR(VLOOKUP(M78:M149,'R22 RELATÓRIO ACC'!B:P,15,FALSE),"NOT PUBLISHED")</f>
        <v>10/04/2026</v>
      </c>
      <c r="H78" s="29" t="str">
        <f>IFERROR(VLOOKUP(N78:N151,'RELATÓRIO ACC'!B:F,5,FALSE),"NOT PUBLISHED")</f>
        <v>V2</v>
      </c>
      <c r="I78" s="29" t="str">
        <f>IFERROR(VLOOKUP(N78:N149,'RELATÓRIO ACC'!B:P,15,FALSE),"NOT PUBLISHED")</f>
        <v>04/06/2026</v>
      </c>
      <c r="J78" s="29">
        <v>46119.0</v>
      </c>
      <c r="K78" s="30" t="s">
        <v>103</v>
      </c>
      <c r="M78" s="31" t="s">
        <v>365</v>
      </c>
      <c r="N78" s="31" t="s">
        <v>366</v>
      </c>
      <c r="O78" s="65" t="s">
        <v>113</v>
      </c>
      <c r="P78" s="65" t="b">
        <v>0</v>
      </c>
      <c r="Q78" s="65"/>
      <c r="R78" s="65"/>
      <c r="S78" s="65"/>
      <c r="T78" s="65"/>
      <c r="U78" s="65"/>
      <c r="V78" s="41"/>
      <c r="W78" s="41"/>
      <c r="X78" s="30" t="s">
        <v>78</v>
      </c>
      <c r="Y78" s="30" t="s">
        <v>78</v>
      </c>
      <c r="Z78" s="30" t="s">
        <v>78</v>
      </c>
      <c r="AA78" s="30" t="s">
        <v>78</v>
      </c>
      <c r="AB78" s="30" t="s">
        <v>78</v>
      </c>
      <c r="AC78" s="30" t="s">
        <v>78</v>
      </c>
      <c r="AD78" s="30" t="s">
        <v>78</v>
      </c>
      <c r="AE78" s="30" t="s">
        <v>78</v>
      </c>
      <c r="AF78" s="30" t="s">
        <v>78</v>
      </c>
      <c r="AG78" s="30" t="s">
        <v>78</v>
      </c>
      <c r="AH78" s="30" t="s">
        <v>78</v>
      </c>
      <c r="AI78" s="30" t="s">
        <v>78</v>
      </c>
      <c r="AJ78" s="30" t="s">
        <v>78</v>
      </c>
      <c r="AK78" s="30" t="s">
        <v>78</v>
      </c>
      <c r="AL78" s="30" t="s">
        <v>78</v>
      </c>
      <c r="AM78" s="30" t="s">
        <v>78</v>
      </c>
      <c r="AN78" s="30" t="s">
        <v>78</v>
      </c>
      <c r="AO78" s="30" t="s">
        <v>78</v>
      </c>
      <c r="AP78" s="30" t="s">
        <v>78</v>
      </c>
      <c r="AQ78" s="30" t="s">
        <v>78</v>
      </c>
      <c r="AR78" s="30" t="s">
        <v>78</v>
      </c>
      <c r="AS78" s="30" t="s">
        <v>78</v>
      </c>
      <c r="AT78" s="30" t="s">
        <v>78</v>
      </c>
      <c r="AU78" s="30" t="s">
        <v>78</v>
      </c>
      <c r="AV78" s="34" t="s">
        <v>80</v>
      </c>
      <c r="AW78" s="35">
        <v>0.0</v>
      </c>
      <c r="AX78" s="34" t="s">
        <v>80</v>
      </c>
      <c r="AY78" s="35">
        <v>1.0</v>
      </c>
      <c r="AZ78" s="35">
        <v>1.0</v>
      </c>
      <c r="BA78" s="39" t="s">
        <v>99</v>
      </c>
      <c r="BB78" s="39" t="s">
        <v>99</v>
      </c>
      <c r="BC78" s="39" t="s">
        <v>99</v>
      </c>
      <c r="BD78" s="39" t="s">
        <v>99</v>
      </c>
      <c r="BE78" s="39" t="s">
        <v>99</v>
      </c>
      <c r="BF78" s="39" t="s">
        <v>99</v>
      </c>
      <c r="BG78" s="39" t="s">
        <v>99</v>
      </c>
      <c r="BH78" s="39" t="s">
        <v>99</v>
      </c>
      <c r="BI78" s="39" t="s">
        <v>99</v>
      </c>
      <c r="BJ78" s="39" t="s">
        <v>99</v>
      </c>
      <c r="BK78" s="39" t="s">
        <v>99</v>
      </c>
      <c r="BL78" s="39" t="s">
        <v>99</v>
      </c>
      <c r="BM78" s="39" t="s">
        <v>99</v>
      </c>
      <c r="BN78" s="30" t="s">
        <v>100</v>
      </c>
      <c r="BO78" s="39" t="s">
        <v>99</v>
      </c>
      <c r="BP78" s="35">
        <f>IFERROR(__xludf.DUMMYFUNCTION("IFERROR(
  INDEX(
    FILTER(X78:BK78, ISNUMBER(X78:BK78)),
    COUNTA(FILTER(X78:BK78, ISNUMBER(X78:BK78)))
  ),
  BK78
)"),1.0)</f>
        <v>1</v>
      </c>
    </row>
    <row r="80">
      <c r="A80" s="10"/>
      <c r="B80" s="66"/>
      <c r="C80" s="66"/>
      <c r="D80" s="66"/>
      <c r="E80" s="66"/>
      <c r="F80" s="67"/>
      <c r="G80" s="67"/>
      <c r="H80" s="67"/>
      <c r="I80" s="67"/>
      <c r="J80" s="67"/>
      <c r="K80" s="66"/>
      <c r="L80" s="66"/>
      <c r="M80" s="68"/>
      <c r="N80" s="68"/>
      <c r="O80" s="66"/>
      <c r="P80" s="66"/>
      <c r="Q80" s="66"/>
      <c r="R80" s="66"/>
      <c r="S80" s="69"/>
      <c r="T80" s="66"/>
      <c r="U80" s="69"/>
      <c r="V80" s="67"/>
      <c r="W80" s="67"/>
      <c r="X80" s="66"/>
      <c r="Y80" s="70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6"/>
      <c r="BP80" s="66"/>
    </row>
    <row r="81">
      <c r="A81" s="10"/>
      <c r="B81" s="66"/>
      <c r="C81" s="66"/>
      <c r="D81" s="66"/>
      <c r="E81" s="66"/>
      <c r="F81" s="67"/>
      <c r="G81" s="67"/>
      <c r="H81" s="67"/>
      <c r="I81" s="67"/>
      <c r="J81" s="67"/>
      <c r="K81" s="66"/>
      <c r="L81" s="66"/>
      <c r="M81" s="68"/>
      <c r="N81" s="68"/>
      <c r="O81" s="66"/>
      <c r="P81" s="66"/>
      <c r="Q81" s="66"/>
      <c r="R81" s="66"/>
      <c r="S81" s="69"/>
      <c r="T81" s="66"/>
      <c r="U81" s="69"/>
      <c r="V81" s="67"/>
      <c r="W81" s="67"/>
      <c r="X81" s="70"/>
      <c r="Y81" s="70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6"/>
      <c r="BP81" s="66"/>
    </row>
    <row r="82">
      <c r="A82" s="10"/>
      <c r="B82" s="66"/>
      <c r="C82" s="66"/>
      <c r="D82" s="66"/>
      <c r="E82" s="66"/>
      <c r="F82" s="67"/>
      <c r="G82" s="67"/>
      <c r="H82" s="67"/>
      <c r="I82" s="67"/>
      <c r="J82" s="67"/>
      <c r="K82" s="66"/>
      <c r="L82" s="66"/>
      <c r="M82" s="71"/>
      <c r="N82" s="71"/>
      <c r="O82" s="66"/>
      <c r="P82" s="66"/>
      <c r="Q82" s="66"/>
      <c r="R82" s="66"/>
      <c r="S82" s="66"/>
      <c r="T82" s="66"/>
      <c r="U82" s="69"/>
      <c r="V82" s="67"/>
      <c r="W82" s="67"/>
      <c r="X82" s="70"/>
      <c r="Y82" s="69"/>
      <c r="Z82" s="70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6"/>
      <c r="BP82" s="66"/>
    </row>
    <row r="83">
      <c r="A83" s="10"/>
      <c r="B83" s="66"/>
      <c r="C83" s="66"/>
      <c r="D83" s="66"/>
      <c r="E83" s="66"/>
      <c r="F83" s="67"/>
      <c r="G83" s="67"/>
      <c r="H83" s="67"/>
      <c r="I83" s="67"/>
      <c r="J83" s="71"/>
      <c r="K83" s="66"/>
      <c r="L83" s="66"/>
      <c r="O83" s="66"/>
      <c r="P83" s="66"/>
      <c r="Q83" s="66"/>
      <c r="R83" s="66"/>
      <c r="S83" s="69"/>
      <c r="T83" s="66"/>
      <c r="U83" s="69"/>
      <c r="V83" s="67"/>
      <c r="W83" s="67"/>
      <c r="X83" s="70"/>
      <c r="Y83" s="69"/>
      <c r="Z83" s="70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6"/>
      <c r="BP83" s="66"/>
    </row>
    <row r="84">
      <c r="A84" s="10"/>
      <c r="B84" s="66"/>
      <c r="C84" s="66"/>
      <c r="D84" s="66"/>
      <c r="E84" s="66"/>
      <c r="F84" s="67"/>
      <c r="G84" s="67"/>
      <c r="H84" s="67"/>
      <c r="I84" s="67"/>
      <c r="J84" s="67"/>
      <c r="K84" s="66"/>
      <c r="L84" s="66"/>
      <c r="M84" s="71"/>
      <c r="N84" s="71"/>
      <c r="O84" s="66"/>
      <c r="P84" s="66"/>
      <c r="Q84" s="66"/>
      <c r="R84" s="66"/>
      <c r="S84" s="69"/>
      <c r="T84" s="66"/>
      <c r="U84" s="69"/>
      <c r="V84" s="67"/>
      <c r="W84" s="67"/>
      <c r="X84" s="70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6"/>
      <c r="BP84" s="66"/>
    </row>
    <row r="85">
      <c r="A85" s="10"/>
      <c r="B85" s="66"/>
      <c r="C85" s="66"/>
      <c r="D85" s="66"/>
      <c r="E85" s="66"/>
      <c r="F85" s="67"/>
      <c r="G85" s="67"/>
      <c r="H85" s="67"/>
      <c r="I85" s="67"/>
      <c r="K85" s="66"/>
      <c r="L85" s="66"/>
      <c r="M85" s="71"/>
      <c r="N85" s="71"/>
      <c r="O85" s="66"/>
      <c r="P85" s="66"/>
      <c r="Q85" s="66"/>
      <c r="R85" s="66"/>
      <c r="S85" s="69"/>
      <c r="T85" s="66"/>
      <c r="U85" s="69"/>
      <c r="V85" s="67"/>
      <c r="W85" s="67"/>
      <c r="X85" s="70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6"/>
      <c r="BP85" s="66"/>
    </row>
    <row r="86">
      <c r="A86" s="10"/>
      <c r="B86" s="66"/>
      <c r="C86" s="66"/>
      <c r="D86" s="66"/>
      <c r="E86" s="66"/>
      <c r="F86" s="67"/>
      <c r="G86" s="67"/>
      <c r="H86" s="67"/>
      <c r="I86" s="67"/>
      <c r="K86" s="66"/>
      <c r="L86" s="66"/>
      <c r="M86" s="71"/>
      <c r="N86" s="71"/>
      <c r="O86" s="66"/>
      <c r="P86" s="66"/>
      <c r="Q86" s="66"/>
      <c r="R86" s="66"/>
      <c r="S86" s="69"/>
      <c r="T86" s="66"/>
      <c r="U86" s="69"/>
      <c r="V86" s="67"/>
      <c r="W86" s="67"/>
      <c r="X86" s="70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6"/>
      <c r="BP86" s="66"/>
    </row>
    <row r="87">
      <c r="A87" s="10"/>
      <c r="B87" s="66"/>
      <c r="C87" s="66"/>
      <c r="D87" s="66"/>
      <c r="E87" s="66"/>
      <c r="F87" s="67"/>
      <c r="G87" s="67"/>
      <c r="H87" s="67"/>
      <c r="I87" s="67"/>
      <c r="K87" s="66"/>
      <c r="L87" s="66"/>
      <c r="M87" s="71"/>
      <c r="N87" s="71"/>
      <c r="O87" s="66"/>
      <c r="P87" s="66"/>
      <c r="Q87" s="66"/>
      <c r="R87" s="66"/>
      <c r="S87" s="69"/>
      <c r="T87" s="66"/>
      <c r="U87" s="69"/>
      <c r="V87" s="67"/>
      <c r="W87" s="67"/>
      <c r="X87" s="70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6"/>
      <c r="BP87" s="66"/>
    </row>
    <row r="88">
      <c r="A88" s="10"/>
      <c r="B88" s="66"/>
      <c r="C88" s="66"/>
      <c r="D88" s="66"/>
      <c r="E88" s="66"/>
      <c r="F88" s="67"/>
      <c r="G88" s="67"/>
      <c r="H88" s="67"/>
      <c r="I88" s="67"/>
      <c r="K88" s="66"/>
      <c r="L88" s="66"/>
      <c r="M88" s="71"/>
      <c r="N88" s="71"/>
      <c r="O88" s="66"/>
      <c r="P88" s="66"/>
      <c r="Q88" s="66"/>
      <c r="R88" s="66"/>
      <c r="S88" s="69"/>
      <c r="T88" s="66"/>
      <c r="U88" s="69"/>
      <c r="V88" s="67"/>
      <c r="W88" s="67"/>
      <c r="X88" s="70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6"/>
      <c r="BP88" s="66"/>
    </row>
    <row r="89">
      <c r="A89" s="10"/>
      <c r="B89" s="66"/>
      <c r="C89" s="66"/>
      <c r="D89" s="66"/>
      <c r="E89" s="66"/>
      <c r="F89" s="67"/>
      <c r="G89" s="67"/>
      <c r="H89" s="67"/>
      <c r="I89" s="67"/>
      <c r="K89" s="66"/>
      <c r="L89" s="66"/>
      <c r="M89" s="71"/>
      <c r="N89" s="71"/>
      <c r="O89" s="66"/>
      <c r="P89" s="66"/>
      <c r="Q89" s="66"/>
      <c r="R89" s="66"/>
      <c r="S89" s="69"/>
      <c r="T89" s="66"/>
      <c r="U89" s="69"/>
      <c r="V89" s="67"/>
      <c r="W89" s="67"/>
      <c r="X89" s="70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6"/>
      <c r="BP89" s="66"/>
    </row>
    <row r="90">
      <c r="A90" s="10"/>
      <c r="B90" s="66"/>
      <c r="C90" s="66"/>
      <c r="D90" s="66"/>
      <c r="E90" s="66"/>
      <c r="F90" s="67"/>
      <c r="G90" s="67"/>
      <c r="H90" s="67"/>
      <c r="I90" s="67"/>
      <c r="K90" s="66"/>
      <c r="L90" s="66"/>
      <c r="M90" s="69"/>
      <c r="N90" s="69"/>
      <c r="O90" s="66"/>
      <c r="P90" s="66"/>
      <c r="Q90" s="66"/>
      <c r="R90" s="66"/>
      <c r="S90" s="69"/>
      <c r="T90" s="66"/>
      <c r="U90" s="69"/>
      <c r="V90" s="67"/>
      <c r="W90" s="67"/>
      <c r="X90" s="70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6"/>
      <c r="BP90" s="66"/>
    </row>
    <row r="91">
      <c r="A91" s="10"/>
      <c r="B91" s="66"/>
      <c r="C91" s="66"/>
      <c r="D91" s="66"/>
      <c r="E91" s="66"/>
      <c r="F91" s="67"/>
      <c r="G91" s="67"/>
      <c r="H91" s="67"/>
      <c r="I91" s="67"/>
      <c r="K91" s="66"/>
      <c r="L91" s="66"/>
      <c r="M91" s="71"/>
      <c r="N91" s="71"/>
      <c r="O91" s="66"/>
      <c r="P91" s="66"/>
      <c r="Q91" s="66"/>
      <c r="R91" s="66"/>
      <c r="S91" s="69"/>
      <c r="T91" s="66"/>
      <c r="U91" s="69"/>
      <c r="V91" s="67"/>
      <c r="W91" s="67"/>
      <c r="X91" s="70"/>
      <c r="Y91" s="70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6"/>
      <c r="BP91" s="66"/>
    </row>
    <row r="92">
      <c r="A92" s="10"/>
      <c r="B92" s="66"/>
      <c r="C92" s="66"/>
      <c r="D92" s="66"/>
      <c r="E92" s="66"/>
      <c r="F92" s="67"/>
      <c r="G92" s="67"/>
      <c r="H92" s="67"/>
      <c r="I92" s="67"/>
      <c r="K92" s="66"/>
      <c r="L92" s="66"/>
      <c r="M92" s="71"/>
      <c r="N92" s="71"/>
      <c r="O92" s="66"/>
      <c r="P92" s="66"/>
      <c r="Q92" s="66"/>
      <c r="R92" s="66"/>
      <c r="S92" s="69"/>
      <c r="T92" s="66"/>
      <c r="U92" s="69"/>
      <c r="V92" s="67"/>
      <c r="W92" s="67"/>
      <c r="X92" s="70"/>
      <c r="Y92" s="70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6"/>
      <c r="BP92" s="66"/>
    </row>
    <row r="93">
      <c r="A93" s="10"/>
      <c r="B93" s="66"/>
      <c r="C93" s="66"/>
      <c r="D93" s="66"/>
      <c r="E93" s="66"/>
      <c r="F93" s="67"/>
      <c r="G93" s="67"/>
      <c r="H93" s="67"/>
      <c r="I93" s="67"/>
      <c r="K93" s="66"/>
      <c r="L93" s="66"/>
      <c r="M93" s="71"/>
      <c r="N93" s="71"/>
      <c r="O93" s="66"/>
      <c r="P93" s="66"/>
      <c r="Q93" s="66"/>
      <c r="R93" s="66"/>
      <c r="S93" s="69"/>
      <c r="T93" s="66"/>
      <c r="U93" s="69"/>
      <c r="V93" s="67"/>
      <c r="W93" s="67"/>
      <c r="X93" s="70"/>
      <c r="Y93" s="70"/>
      <c r="Z93" s="69"/>
      <c r="AA93" s="69"/>
      <c r="AB93" s="69"/>
      <c r="AC93" s="69"/>
      <c r="AD93" s="69"/>
      <c r="AE93" s="69"/>
      <c r="BO93" s="66"/>
      <c r="BP93" s="66"/>
    </row>
    <row r="94">
      <c r="A94" s="10"/>
      <c r="B94" s="66"/>
      <c r="C94" s="66"/>
      <c r="D94" s="66"/>
      <c r="E94" s="66"/>
      <c r="F94" s="67"/>
      <c r="G94" s="67"/>
      <c r="H94" s="67"/>
      <c r="I94" s="67"/>
      <c r="J94" s="67"/>
      <c r="K94" s="66"/>
      <c r="L94" s="66"/>
      <c r="M94" s="71"/>
      <c r="N94" s="71"/>
      <c r="O94" s="72"/>
      <c r="P94" s="72"/>
      <c r="Q94" s="72"/>
      <c r="R94" s="72"/>
      <c r="S94" s="69"/>
      <c r="T94" s="66"/>
      <c r="U94" s="69"/>
      <c r="V94" s="67"/>
      <c r="W94" s="67"/>
      <c r="X94" s="70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6"/>
      <c r="BP94" s="66"/>
    </row>
    <row r="95">
      <c r="A95" s="10"/>
      <c r="B95" s="66"/>
      <c r="C95" s="66"/>
      <c r="D95" s="66"/>
      <c r="E95" s="66"/>
      <c r="F95" s="67"/>
      <c r="G95" s="67"/>
      <c r="H95" s="67"/>
      <c r="I95" s="67"/>
      <c r="J95" s="67"/>
      <c r="K95" s="66"/>
      <c r="L95" s="66"/>
      <c r="M95" s="71"/>
      <c r="N95" s="71"/>
      <c r="O95" s="66"/>
      <c r="P95" s="66"/>
      <c r="Q95" s="66"/>
      <c r="R95" s="66"/>
      <c r="S95" s="69"/>
      <c r="T95" s="66"/>
      <c r="U95" s="69"/>
      <c r="V95" s="67"/>
      <c r="W95" s="67"/>
      <c r="X95" s="70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6"/>
      <c r="BP95" s="66"/>
    </row>
    <row r="96">
      <c r="A96" s="10"/>
      <c r="B96" s="66"/>
      <c r="C96" s="66"/>
      <c r="D96" s="66"/>
      <c r="E96" s="66"/>
      <c r="F96" s="67"/>
      <c r="G96" s="67"/>
      <c r="H96" s="67"/>
      <c r="I96" s="67"/>
      <c r="J96" s="67"/>
      <c r="K96" s="66"/>
      <c r="L96" s="66"/>
      <c r="M96" s="71"/>
      <c r="N96" s="71"/>
      <c r="O96" s="66"/>
      <c r="P96" s="66"/>
      <c r="Q96" s="66"/>
      <c r="R96" s="66"/>
      <c r="S96" s="69"/>
      <c r="T96" s="66"/>
      <c r="U96" s="69"/>
      <c r="V96" s="67"/>
      <c r="W96" s="67"/>
      <c r="X96" s="70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69"/>
      <c r="BN96" s="69"/>
      <c r="BO96" s="66"/>
      <c r="BP96" s="66"/>
    </row>
    <row r="97">
      <c r="A97" s="10"/>
      <c r="B97" s="73"/>
      <c r="C97" s="73"/>
      <c r="D97" s="73"/>
      <c r="E97" s="73"/>
      <c r="F97" s="67"/>
      <c r="G97" s="67"/>
      <c r="H97" s="67"/>
      <c r="I97" s="67"/>
      <c r="J97" s="67"/>
      <c r="K97" s="66"/>
      <c r="L97" s="66"/>
      <c r="M97" s="71"/>
      <c r="N97" s="71"/>
      <c r="O97" s="66"/>
      <c r="P97" s="66"/>
      <c r="Q97" s="66"/>
      <c r="R97" s="66"/>
      <c r="S97" s="69"/>
      <c r="T97" s="66"/>
      <c r="U97" s="69"/>
      <c r="V97" s="67"/>
      <c r="W97" s="67"/>
      <c r="X97" s="70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69"/>
      <c r="BN97" s="69"/>
      <c r="BO97" s="66"/>
      <c r="BP97" s="66"/>
    </row>
    <row r="98">
      <c r="A98" s="10"/>
      <c r="B98" s="66"/>
      <c r="C98" s="66"/>
      <c r="D98" s="66"/>
      <c r="E98" s="66"/>
      <c r="F98" s="67"/>
      <c r="G98" s="67"/>
      <c r="H98" s="67"/>
      <c r="I98" s="67"/>
      <c r="J98" s="67"/>
      <c r="K98" s="66"/>
      <c r="L98" s="66"/>
      <c r="M98" s="74"/>
      <c r="N98" s="74"/>
      <c r="O98" s="66"/>
      <c r="P98" s="66"/>
      <c r="Q98" s="66"/>
      <c r="R98" s="66"/>
      <c r="S98" s="69"/>
      <c r="T98" s="66"/>
      <c r="U98" s="69"/>
      <c r="V98" s="67"/>
      <c r="W98" s="67"/>
      <c r="X98" s="66"/>
      <c r="Y98" s="70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6"/>
      <c r="BP98" s="66"/>
    </row>
    <row r="99">
      <c r="A99" s="10"/>
      <c r="B99" s="66"/>
      <c r="C99" s="66"/>
      <c r="D99" s="66"/>
      <c r="E99" s="66"/>
      <c r="F99" s="67"/>
      <c r="G99" s="67"/>
      <c r="H99" s="67"/>
      <c r="I99" s="67"/>
      <c r="J99" s="67"/>
      <c r="K99" s="66"/>
      <c r="L99" s="66"/>
      <c r="M99" s="71"/>
      <c r="N99" s="71"/>
      <c r="O99" s="66"/>
      <c r="P99" s="66"/>
      <c r="Q99" s="66"/>
      <c r="R99" s="66"/>
      <c r="S99" s="69"/>
      <c r="T99" s="66"/>
      <c r="U99" s="69"/>
      <c r="V99" s="67"/>
      <c r="W99" s="67"/>
      <c r="X99" s="66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6"/>
      <c r="BP99" s="66"/>
    </row>
    <row r="100">
      <c r="A100" s="10"/>
      <c r="B100" s="66"/>
      <c r="C100" s="66"/>
      <c r="D100" s="66"/>
      <c r="E100" s="66"/>
      <c r="F100" s="67"/>
      <c r="G100" s="67"/>
      <c r="H100" s="67"/>
      <c r="I100" s="67"/>
      <c r="J100" s="67"/>
      <c r="K100" s="66"/>
      <c r="L100" s="66"/>
      <c r="M100" s="75"/>
      <c r="N100" s="75"/>
      <c r="O100" s="66"/>
      <c r="P100" s="66"/>
      <c r="Q100" s="66"/>
      <c r="R100" s="66"/>
      <c r="S100" s="69"/>
      <c r="T100" s="66"/>
      <c r="U100" s="69"/>
      <c r="V100" s="67"/>
      <c r="W100" s="67"/>
      <c r="X100" s="70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6"/>
      <c r="BP100" s="66"/>
    </row>
    <row r="101">
      <c r="A101" s="1"/>
      <c r="B101" s="76"/>
      <c r="C101" s="76"/>
      <c r="D101" s="76"/>
      <c r="E101" s="76"/>
      <c r="M101" s="76"/>
      <c r="N101" s="76"/>
      <c r="O101" s="76"/>
      <c r="P101" s="76"/>
      <c r="Q101" s="76"/>
      <c r="R101" s="76"/>
    </row>
    <row r="102">
      <c r="A102" s="1"/>
      <c r="B102" s="76"/>
      <c r="C102" s="76"/>
      <c r="D102" s="76"/>
      <c r="E102" s="76"/>
      <c r="M102" s="76"/>
      <c r="N102" s="76"/>
      <c r="O102" s="76"/>
      <c r="P102" s="76"/>
      <c r="Q102" s="76"/>
      <c r="R102" s="76"/>
    </row>
    <row r="103">
      <c r="A103" s="1"/>
      <c r="B103" s="76"/>
      <c r="C103" s="76"/>
      <c r="D103" s="76"/>
      <c r="E103" s="76"/>
      <c r="M103" s="76"/>
      <c r="N103" s="76"/>
      <c r="O103" s="76"/>
      <c r="P103" s="76"/>
      <c r="Q103" s="76"/>
      <c r="R103" s="76"/>
    </row>
    <row r="104">
      <c r="A104" s="1"/>
      <c r="B104" s="77"/>
      <c r="C104" s="77"/>
      <c r="D104" s="77"/>
      <c r="E104" s="77"/>
      <c r="M104" s="77"/>
      <c r="N104" s="77"/>
      <c r="O104" s="77"/>
      <c r="P104" s="77"/>
      <c r="Q104" s="77"/>
      <c r="R104" s="77"/>
    </row>
    <row r="105">
      <c r="A105" s="1"/>
      <c r="B105" s="77"/>
      <c r="C105" s="77"/>
      <c r="D105" s="77"/>
      <c r="E105" s="77"/>
      <c r="M105" s="77"/>
      <c r="N105" s="77"/>
      <c r="O105" s="77"/>
      <c r="P105" s="77"/>
      <c r="Q105" s="77"/>
      <c r="R105" s="77"/>
    </row>
    <row r="106">
      <c r="A106" s="1"/>
      <c r="B106" s="77"/>
      <c r="C106" s="77"/>
      <c r="D106" s="77"/>
      <c r="E106" s="77"/>
      <c r="M106" s="77"/>
      <c r="N106" s="77"/>
      <c r="O106" s="77"/>
      <c r="P106" s="77"/>
      <c r="Q106" s="77"/>
      <c r="R106" s="77"/>
    </row>
    <row r="107">
      <c r="A107" s="1"/>
      <c r="B107" s="77"/>
      <c r="C107" s="77"/>
      <c r="D107" s="77"/>
      <c r="E107" s="77"/>
      <c r="M107" s="77"/>
      <c r="N107" s="77"/>
      <c r="O107" s="77"/>
      <c r="P107" s="77"/>
      <c r="Q107" s="77"/>
      <c r="R107" s="77"/>
    </row>
    <row r="108">
      <c r="A108" s="1"/>
      <c r="B108" s="77"/>
      <c r="C108" s="77"/>
      <c r="D108" s="77"/>
      <c r="E108" s="77"/>
      <c r="M108" s="77"/>
      <c r="N108" s="77"/>
      <c r="O108" s="77"/>
      <c r="P108" s="77"/>
      <c r="Q108" s="77"/>
      <c r="R108" s="77"/>
    </row>
    <row r="109">
      <c r="A109" s="1"/>
      <c r="B109" s="77"/>
      <c r="C109" s="77"/>
      <c r="D109" s="77"/>
      <c r="E109" s="77"/>
      <c r="M109" s="77"/>
      <c r="N109" s="77"/>
      <c r="O109" s="77"/>
      <c r="P109" s="77"/>
      <c r="Q109" s="77"/>
      <c r="R109" s="77"/>
    </row>
    <row r="110">
      <c r="A110" s="1"/>
      <c r="B110" s="77"/>
      <c r="C110" s="77"/>
      <c r="D110" s="77"/>
      <c r="E110" s="77"/>
      <c r="M110" s="77"/>
      <c r="N110" s="77"/>
      <c r="O110" s="77"/>
      <c r="P110" s="77"/>
      <c r="Q110" s="77"/>
      <c r="R110" s="77"/>
    </row>
    <row r="111">
      <c r="A111" s="1"/>
      <c r="B111" s="77"/>
      <c r="C111" s="77"/>
      <c r="D111" s="77"/>
      <c r="E111" s="77"/>
      <c r="M111" s="77"/>
      <c r="N111" s="77"/>
      <c r="O111" s="77"/>
      <c r="P111" s="77"/>
      <c r="Q111" s="77"/>
      <c r="R111" s="77"/>
    </row>
    <row r="112">
      <c r="A112" s="1"/>
      <c r="B112" s="77"/>
      <c r="C112" s="77"/>
      <c r="D112" s="77"/>
      <c r="E112" s="77"/>
      <c r="M112" s="77"/>
      <c r="N112" s="77"/>
      <c r="O112" s="77"/>
      <c r="P112" s="77"/>
      <c r="Q112" s="77"/>
      <c r="R112" s="77"/>
    </row>
    <row r="113">
      <c r="A113" s="1"/>
      <c r="B113" s="77"/>
      <c r="C113" s="77"/>
      <c r="D113" s="77"/>
      <c r="E113" s="77"/>
      <c r="M113" s="77"/>
      <c r="N113" s="77"/>
      <c r="O113" s="77"/>
      <c r="P113" s="77"/>
      <c r="Q113" s="77"/>
      <c r="R113" s="77"/>
    </row>
    <row r="114">
      <c r="A114" s="1"/>
      <c r="B114" s="77"/>
      <c r="C114" s="77"/>
      <c r="D114" s="77"/>
      <c r="E114" s="77"/>
      <c r="M114" s="77"/>
      <c r="N114" s="77"/>
      <c r="O114" s="77"/>
      <c r="P114" s="77"/>
      <c r="Q114" s="77"/>
      <c r="R114" s="77"/>
    </row>
    <row r="115">
      <c r="A115" s="1"/>
      <c r="B115" s="77"/>
      <c r="C115" s="77"/>
      <c r="D115" s="77"/>
      <c r="E115" s="77"/>
      <c r="M115" s="77"/>
      <c r="N115" s="77"/>
      <c r="O115" s="77"/>
      <c r="P115" s="77"/>
      <c r="Q115" s="77"/>
      <c r="R115" s="77"/>
    </row>
    <row r="116">
      <c r="A116" s="1"/>
      <c r="B116" s="77"/>
      <c r="C116" s="77"/>
      <c r="D116" s="77"/>
      <c r="E116" s="77"/>
      <c r="M116" s="77"/>
      <c r="N116" s="77"/>
      <c r="O116" s="77"/>
      <c r="P116" s="77"/>
      <c r="Q116" s="77"/>
      <c r="R116" s="77"/>
    </row>
    <row r="117">
      <c r="A117" s="1"/>
      <c r="B117" s="77"/>
      <c r="C117" s="77"/>
      <c r="D117" s="77"/>
      <c r="E117" s="77"/>
      <c r="M117" s="77"/>
      <c r="N117" s="77"/>
      <c r="O117" s="77"/>
      <c r="P117" s="77"/>
      <c r="Q117" s="77"/>
      <c r="R117" s="77"/>
    </row>
    <row r="118">
      <c r="A118" s="1"/>
      <c r="B118" s="77"/>
      <c r="C118" s="77"/>
      <c r="D118" s="77"/>
      <c r="E118" s="77"/>
      <c r="M118" s="77"/>
      <c r="N118" s="77"/>
      <c r="O118" s="77"/>
      <c r="P118" s="77"/>
      <c r="Q118" s="77"/>
      <c r="R118" s="77"/>
    </row>
    <row r="119">
      <c r="A119" s="1"/>
      <c r="B119" s="77"/>
      <c r="C119" s="77"/>
      <c r="D119" s="77"/>
      <c r="E119" s="77"/>
      <c r="M119" s="77"/>
      <c r="N119" s="77"/>
      <c r="O119" s="77"/>
      <c r="P119" s="77"/>
      <c r="Q119" s="77"/>
      <c r="R119" s="77"/>
    </row>
    <row r="120">
      <c r="A120" s="1"/>
      <c r="B120" s="78"/>
      <c r="C120" s="78"/>
      <c r="D120" s="78"/>
      <c r="E120" s="78"/>
      <c r="M120" s="79"/>
      <c r="N120" s="79"/>
      <c r="O120" s="79"/>
      <c r="P120" s="79"/>
      <c r="Q120" s="79"/>
      <c r="R120" s="79"/>
    </row>
    <row r="121">
      <c r="A121" s="1"/>
      <c r="B121" s="78"/>
      <c r="C121" s="78"/>
      <c r="D121" s="78"/>
      <c r="E121" s="78"/>
      <c r="M121" s="79"/>
      <c r="N121" s="79"/>
      <c r="O121" s="79"/>
      <c r="P121" s="79"/>
      <c r="Q121" s="79"/>
      <c r="R121" s="79"/>
    </row>
    <row r="122">
      <c r="A122" s="1"/>
      <c r="B122" s="78"/>
      <c r="C122" s="78"/>
      <c r="D122" s="78"/>
      <c r="E122" s="78"/>
      <c r="M122" s="79"/>
      <c r="N122" s="79"/>
      <c r="O122" s="79"/>
      <c r="P122" s="79"/>
      <c r="Q122" s="79"/>
      <c r="R122" s="79"/>
    </row>
    <row r="123">
      <c r="A123" s="1"/>
      <c r="B123" s="78"/>
      <c r="C123" s="78"/>
      <c r="D123" s="78"/>
      <c r="E123" s="78"/>
      <c r="M123" s="79"/>
      <c r="N123" s="79"/>
      <c r="O123" s="79"/>
      <c r="P123" s="79"/>
      <c r="Q123" s="79"/>
      <c r="R123" s="79"/>
    </row>
    <row r="124">
      <c r="A124" s="1"/>
      <c r="B124" s="78"/>
      <c r="C124" s="78"/>
      <c r="D124" s="78"/>
      <c r="E124" s="78"/>
      <c r="M124" s="79"/>
      <c r="N124" s="79"/>
      <c r="O124" s="79"/>
      <c r="P124" s="79"/>
      <c r="Q124" s="79"/>
      <c r="R124" s="79"/>
    </row>
    <row r="125">
      <c r="A125" s="1"/>
      <c r="B125" s="78"/>
      <c r="C125" s="78"/>
      <c r="D125" s="78"/>
      <c r="E125" s="78"/>
      <c r="M125" s="79"/>
      <c r="N125" s="79"/>
      <c r="O125" s="79"/>
      <c r="P125" s="79"/>
      <c r="Q125" s="79"/>
      <c r="R125" s="79"/>
    </row>
    <row r="126">
      <c r="A126" s="1"/>
      <c r="B126" s="78"/>
      <c r="C126" s="78"/>
      <c r="D126" s="78"/>
      <c r="E126" s="78"/>
      <c r="M126" s="79"/>
      <c r="N126" s="79"/>
      <c r="O126" s="79"/>
      <c r="P126" s="79"/>
      <c r="Q126" s="79"/>
      <c r="R126" s="79"/>
    </row>
    <row r="127">
      <c r="A127" s="1"/>
      <c r="B127" s="78"/>
      <c r="C127" s="78"/>
      <c r="D127" s="78"/>
      <c r="E127" s="78"/>
      <c r="M127" s="79"/>
      <c r="N127" s="79"/>
      <c r="O127" s="79"/>
      <c r="P127" s="79"/>
      <c r="Q127" s="79"/>
      <c r="R127" s="79"/>
    </row>
    <row r="128">
      <c r="A128" s="1"/>
      <c r="B128" s="78"/>
      <c r="C128" s="78"/>
      <c r="D128" s="78"/>
      <c r="E128" s="78"/>
      <c r="M128" s="79"/>
      <c r="N128" s="79"/>
      <c r="O128" s="79"/>
      <c r="P128" s="79"/>
      <c r="Q128" s="79"/>
      <c r="R128" s="79"/>
    </row>
    <row r="129">
      <c r="A129" s="1"/>
      <c r="B129" s="78"/>
      <c r="C129" s="78"/>
      <c r="D129" s="78"/>
      <c r="E129" s="78"/>
      <c r="M129" s="79"/>
      <c r="N129" s="79"/>
      <c r="O129" s="79"/>
      <c r="P129" s="79"/>
      <c r="Q129" s="79"/>
      <c r="R129" s="79"/>
    </row>
    <row r="130">
      <c r="A130" s="1"/>
      <c r="B130" s="78"/>
      <c r="C130" s="78"/>
      <c r="D130" s="78"/>
      <c r="E130" s="78"/>
      <c r="M130" s="79"/>
      <c r="N130" s="79"/>
      <c r="O130" s="79"/>
      <c r="P130" s="79"/>
      <c r="Q130" s="79"/>
      <c r="R130" s="79"/>
    </row>
    <row r="131">
      <c r="A131" s="1"/>
      <c r="B131" s="78"/>
      <c r="C131" s="78"/>
      <c r="D131" s="78"/>
      <c r="E131" s="78"/>
      <c r="M131" s="79"/>
      <c r="N131" s="79"/>
      <c r="O131" s="79"/>
      <c r="P131" s="79"/>
      <c r="Q131" s="79"/>
      <c r="R131" s="79"/>
    </row>
    <row r="132">
      <c r="A132" s="1"/>
      <c r="B132" s="78"/>
      <c r="C132" s="78"/>
      <c r="D132" s="78"/>
      <c r="E132" s="78"/>
      <c r="M132" s="79"/>
      <c r="N132" s="79"/>
      <c r="O132" s="79"/>
      <c r="P132" s="79"/>
      <c r="Q132" s="79"/>
      <c r="R132" s="79"/>
    </row>
    <row r="133">
      <c r="A133" s="1"/>
      <c r="B133" s="78"/>
      <c r="C133" s="78"/>
      <c r="D133" s="78"/>
      <c r="E133" s="78"/>
      <c r="M133" s="79"/>
      <c r="N133" s="79"/>
      <c r="O133" s="79"/>
      <c r="P133" s="79"/>
      <c r="Q133" s="79"/>
      <c r="R133" s="79"/>
    </row>
    <row r="134">
      <c r="A134" s="1"/>
      <c r="B134" s="78"/>
      <c r="C134" s="78"/>
      <c r="D134" s="78"/>
      <c r="E134" s="78"/>
      <c r="M134" s="79"/>
      <c r="N134" s="79"/>
      <c r="O134" s="79"/>
      <c r="P134" s="79"/>
      <c r="Q134" s="79"/>
      <c r="R134" s="79"/>
    </row>
    <row r="135">
      <c r="A135" s="1"/>
      <c r="B135" s="78"/>
      <c r="C135" s="78"/>
      <c r="D135" s="78"/>
      <c r="E135" s="78"/>
      <c r="M135" s="79"/>
      <c r="N135" s="79"/>
      <c r="O135" s="79"/>
      <c r="P135" s="79"/>
      <c r="Q135" s="79"/>
      <c r="R135" s="79"/>
    </row>
    <row r="136">
      <c r="A136" s="1"/>
      <c r="B136" s="78"/>
      <c r="C136" s="78"/>
      <c r="D136" s="78"/>
      <c r="E136" s="78"/>
      <c r="M136" s="79"/>
      <c r="N136" s="79"/>
      <c r="O136" s="79"/>
      <c r="P136" s="79"/>
      <c r="Q136" s="79"/>
      <c r="R136" s="79"/>
    </row>
    <row r="137">
      <c r="A137" s="1"/>
      <c r="B137" s="78"/>
      <c r="C137" s="78"/>
      <c r="D137" s="78"/>
      <c r="E137" s="78"/>
      <c r="M137" s="79"/>
      <c r="N137" s="79"/>
      <c r="O137" s="79"/>
      <c r="P137" s="79"/>
      <c r="Q137" s="79"/>
      <c r="R137" s="79"/>
    </row>
    <row r="138">
      <c r="A138" s="1"/>
      <c r="B138" s="78"/>
      <c r="C138" s="78"/>
      <c r="D138" s="78"/>
      <c r="E138" s="78"/>
      <c r="M138" s="79"/>
      <c r="N138" s="79"/>
      <c r="O138" s="79"/>
      <c r="P138" s="79"/>
      <c r="Q138" s="79"/>
      <c r="R138" s="79"/>
    </row>
    <row r="139">
      <c r="A139" s="1"/>
      <c r="B139" s="78"/>
      <c r="C139" s="78"/>
      <c r="D139" s="78"/>
      <c r="E139" s="78"/>
      <c r="M139" s="79"/>
      <c r="N139" s="79"/>
      <c r="O139" s="79"/>
      <c r="P139" s="79"/>
      <c r="Q139" s="79"/>
      <c r="R139" s="79"/>
    </row>
    <row r="140">
      <c r="A140" s="1"/>
      <c r="B140" s="78"/>
      <c r="C140" s="78"/>
      <c r="D140" s="78"/>
      <c r="E140" s="78"/>
      <c r="M140" s="79"/>
      <c r="N140" s="79"/>
      <c r="O140" s="79"/>
      <c r="P140" s="79"/>
      <c r="Q140" s="79"/>
      <c r="R140" s="79"/>
    </row>
    <row r="141">
      <c r="A141" s="1"/>
      <c r="B141" s="78"/>
      <c r="C141" s="78"/>
      <c r="D141" s="78"/>
      <c r="E141" s="78"/>
      <c r="M141" s="79"/>
      <c r="N141" s="79"/>
      <c r="O141" s="79"/>
      <c r="P141" s="79"/>
      <c r="Q141" s="79"/>
      <c r="R141" s="79"/>
    </row>
    <row r="142">
      <c r="A142" s="1"/>
      <c r="B142" s="78"/>
      <c r="C142" s="78"/>
      <c r="D142" s="78"/>
      <c r="E142" s="78"/>
      <c r="M142" s="79"/>
      <c r="N142" s="79"/>
      <c r="O142" s="79"/>
      <c r="P142" s="79"/>
      <c r="Q142" s="79"/>
      <c r="R142" s="79"/>
    </row>
    <row r="143">
      <c r="A143" s="1"/>
      <c r="B143" s="78"/>
      <c r="C143" s="78"/>
      <c r="D143" s="78"/>
      <c r="E143" s="78"/>
      <c r="M143" s="79"/>
      <c r="N143" s="79"/>
      <c r="O143" s="79"/>
      <c r="P143" s="79"/>
      <c r="Q143" s="79"/>
      <c r="R143" s="79"/>
    </row>
    <row r="144">
      <c r="A144" s="1"/>
      <c r="B144" s="78"/>
      <c r="C144" s="78"/>
      <c r="D144" s="78"/>
      <c r="E144" s="78"/>
      <c r="M144" s="79"/>
      <c r="N144" s="79"/>
      <c r="O144" s="79"/>
      <c r="P144" s="79"/>
      <c r="Q144" s="79"/>
      <c r="R144" s="79"/>
    </row>
    <row r="145">
      <c r="A145" s="1"/>
      <c r="B145" s="78"/>
      <c r="C145" s="78"/>
      <c r="D145" s="78"/>
      <c r="E145" s="78"/>
      <c r="M145" s="79"/>
      <c r="N145" s="79"/>
      <c r="O145" s="79"/>
      <c r="P145" s="79"/>
      <c r="Q145" s="79"/>
      <c r="R145" s="79"/>
    </row>
    <row r="146">
      <c r="A146" s="1"/>
      <c r="B146" s="78"/>
      <c r="C146" s="78"/>
      <c r="D146" s="78"/>
      <c r="E146" s="78"/>
      <c r="M146" s="79"/>
      <c r="N146" s="79"/>
      <c r="O146" s="79"/>
      <c r="P146" s="79"/>
      <c r="Q146" s="79"/>
      <c r="R146" s="79"/>
    </row>
    <row r="147">
      <c r="A147" s="1"/>
      <c r="B147" s="78"/>
      <c r="C147" s="78"/>
      <c r="D147" s="78"/>
      <c r="E147" s="78"/>
      <c r="M147" s="79"/>
      <c r="N147" s="79"/>
      <c r="O147" s="79"/>
      <c r="P147" s="79"/>
      <c r="Q147" s="79"/>
      <c r="R147" s="79"/>
    </row>
    <row r="148">
      <c r="A148" s="1"/>
      <c r="B148" s="78"/>
      <c r="C148" s="78"/>
      <c r="D148" s="78"/>
      <c r="E148" s="78"/>
      <c r="M148" s="79"/>
      <c r="N148" s="79"/>
      <c r="O148" s="79"/>
      <c r="P148" s="79"/>
      <c r="Q148" s="79"/>
      <c r="R148" s="79"/>
    </row>
    <row r="149">
      <c r="A149" s="1"/>
      <c r="B149" s="78"/>
      <c r="C149" s="78"/>
      <c r="D149" s="78"/>
      <c r="E149" s="78"/>
      <c r="M149" s="79"/>
      <c r="N149" s="79"/>
      <c r="O149" s="79"/>
      <c r="P149" s="79"/>
      <c r="Q149" s="79"/>
      <c r="R149" s="79"/>
    </row>
    <row r="150">
      <c r="A150" s="1"/>
      <c r="B150" s="78"/>
      <c r="C150" s="78"/>
      <c r="D150" s="78"/>
      <c r="E150" s="78"/>
      <c r="M150" s="79"/>
      <c r="N150" s="79"/>
      <c r="O150" s="79"/>
      <c r="P150" s="79"/>
      <c r="Q150" s="79"/>
      <c r="R150" s="79"/>
    </row>
    <row r="151">
      <c r="A151" s="1"/>
      <c r="B151" s="78"/>
      <c r="C151" s="78"/>
      <c r="D151" s="78"/>
      <c r="E151" s="78"/>
      <c r="M151" s="79"/>
      <c r="N151" s="79"/>
      <c r="O151" s="79"/>
      <c r="P151" s="79"/>
      <c r="Q151" s="79"/>
      <c r="R151" s="79"/>
    </row>
    <row r="152">
      <c r="A152" s="1"/>
      <c r="B152" s="78"/>
      <c r="C152" s="78"/>
      <c r="D152" s="78"/>
      <c r="E152" s="78"/>
      <c r="M152" s="79"/>
      <c r="N152" s="79"/>
      <c r="O152" s="79"/>
      <c r="P152" s="79"/>
      <c r="Q152" s="79"/>
      <c r="R152" s="79"/>
    </row>
    <row r="153">
      <c r="A153" s="1"/>
      <c r="B153" s="78"/>
      <c r="C153" s="78"/>
      <c r="D153" s="78"/>
      <c r="E153" s="78"/>
      <c r="M153" s="79"/>
      <c r="N153" s="79"/>
      <c r="O153" s="79"/>
      <c r="P153" s="79"/>
      <c r="Q153" s="79"/>
      <c r="R153" s="79"/>
    </row>
    <row r="154">
      <c r="A154" s="1"/>
      <c r="B154" s="78"/>
      <c r="C154" s="78"/>
      <c r="D154" s="78"/>
      <c r="E154" s="78"/>
      <c r="M154" s="79"/>
      <c r="N154" s="79"/>
      <c r="O154" s="79"/>
      <c r="P154" s="79"/>
      <c r="Q154" s="79"/>
      <c r="R154" s="79"/>
    </row>
    <row r="155">
      <c r="A155" s="1"/>
      <c r="B155" s="78"/>
      <c r="C155" s="78"/>
      <c r="D155" s="78"/>
      <c r="E155" s="78"/>
      <c r="M155" s="79"/>
      <c r="N155" s="79"/>
      <c r="O155" s="79"/>
      <c r="P155" s="79"/>
      <c r="Q155" s="79"/>
      <c r="R155" s="79"/>
    </row>
    <row r="156">
      <c r="A156" s="1"/>
      <c r="B156" s="78"/>
      <c r="C156" s="78"/>
      <c r="D156" s="78"/>
      <c r="E156" s="78"/>
      <c r="M156" s="79"/>
      <c r="N156" s="79"/>
      <c r="O156" s="79"/>
      <c r="P156" s="79"/>
      <c r="Q156" s="79"/>
      <c r="R156" s="79"/>
    </row>
    <row r="157">
      <c r="A157" s="1"/>
      <c r="B157" s="78"/>
      <c r="C157" s="78"/>
      <c r="D157" s="78"/>
      <c r="E157" s="78"/>
      <c r="M157" s="79"/>
      <c r="N157" s="79"/>
      <c r="O157" s="79"/>
      <c r="P157" s="79"/>
      <c r="Q157" s="79"/>
      <c r="R157" s="79"/>
    </row>
    <row r="158">
      <c r="A158" s="1"/>
      <c r="B158" s="78"/>
      <c r="C158" s="78"/>
      <c r="D158" s="78"/>
      <c r="E158" s="78"/>
      <c r="M158" s="79"/>
      <c r="N158" s="79"/>
      <c r="O158" s="79"/>
      <c r="P158" s="79"/>
      <c r="Q158" s="79"/>
      <c r="R158" s="79"/>
    </row>
    <row r="159">
      <c r="A159" s="1"/>
      <c r="B159" s="78"/>
      <c r="C159" s="78"/>
      <c r="D159" s="78"/>
      <c r="E159" s="78"/>
      <c r="M159" s="79"/>
      <c r="N159" s="79"/>
      <c r="O159" s="79"/>
      <c r="P159" s="79"/>
      <c r="Q159" s="79"/>
      <c r="R159" s="79"/>
    </row>
    <row r="160">
      <c r="A160" s="1"/>
      <c r="B160" s="78"/>
      <c r="C160" s="78"/>
      <c r="D160" s="78"/>
      <c r="E160" s="78"/>
      <c r="M160" s="79"/>
      <c r="N160" s="79"/>
      <c r="O160" s="79"/>
      <c r="P160" s="79"/>
      <c r="Q160" s="79"/>
      <c r="R160" s="79"/>
    </row>
    <row r="161">
      <c r="A161" s="1"/>
      <c r="B161" s="78"/>
      <c r="C161" s="78"/>
      <c r="D161" s="78"/>
      <c r="E161" s="78"/>
      <c r="M161" s="79"/>
      <c r="N161" s="79"/>
      <c r="O161" s="79"/>
      <c r="P161" s="79"/>
      <c r="Q161" s="79"/>
      <c r="R161" s="79"/>
    </row>
    <row r="162">
      <c r="A162" s="1"/>
      <c r="B162" s="78"/>
      <c r="C162" s="78"/>
      <c r="D162" s="78"/>
      <c r="E162" s="78"/>
      <c r="M162" s="79"/>
      <c r="N162" s="79"/>
      <c r="O162" s="79"/>
      <c r="P162" s="79"/>
      <c r="Q162" s="79"/>
      <c r="R162" s="79"/>
    </row>
    <row r="163">
      <c r="A163" s="1"/>
      <c r="B163" s="78"/>
      <c r="C163" s="78"/>
      <c r="D163" s="78"/>
      <c r="E163" s="78"/>
      <c r="M163" s="79"/>
      <c r="N163" s="79"/>
      <c r="O163" s="79"/>
      <c r="P163" s="79"/>
      <c r="Q163" s="79"/>
      <c r="R163" s="79"/>
    </row>
    <row r="164">
      <c r="A164" s="1"/>
      <c r="B164" s="78"/>
      <c r="C164" s="78"/>
      <c r="D164" s="78"/>
      <c r="E164" s="78"/>
      <c r="M164" s="79"/>
      <c r="N164" s="79"/>
      <c r="O164" s="79"/>
      <c r="P164" s="79"/>
      <c r="Q164" s="79"/>
      <c r="R164" s="79"/>
    </row>
    <row r="165">
      <c r="A165" s="1"/>
      <c r="B165" s="78"/>
      <c r="C165" s="78"/>
      <c r="D165" s="78"/>
      <c r="E165" s="78"/>
      <c r="M165" s="79"/>
      <c r="N165" s="79"/>
      <c r="O165" s="79"/>
      <c r="P165" s="79"/>
      <c r="Q165" s="79"/>
      <c r="R165" s="79"/>
    </row>
    <row r="166">
      <c r="A166" s="1"/>
      <c r="B166" s="78"/>
      <c r="C166" s="78"/>
      <c r="D166" s="78"/>
      <c r="E166" s="78"/>
      <c r="M166" s="79"/>
      <c r="N166" s="79"/>
      <c r="O166" s="79"/>
      <c r="P166" s="79"/>
      <c r="Q166" s="79"/>
      <c r="R166" s="79"/>
    </row>
    <row r="167">
      <c r="A167" s="1"/>
      <c r="B167" s="78"/>
      <c r="C167" s="78"/>
      <c r="D167" s="78"/>
      <c r="E167" s="78"/>
      <c r="M167" s="79"/>
      <c r="N167" s="79"/>
      <c r="O167" s="79"/>
      <c r="P167" s="79"/>
      <c r="Q167" s="79"/>
      <c r="R167" s="79"/>
    </row>
    <row r="168">
      <c r="A168" s="1"/>
      <c r="B168" s="78"/>
      <c r="C168" s="78"/>
      <c r="D168" s="78"/>
      <c r="E168" s="78"/>
      <c r="M168" s="79"/>
      <c r="N168" s="79"/>
      <c r="O168" s="79"/>
      <c r="P168" s="79"/>
      <c r="Q168" s="79"/>
      <c r="R168" s="79"/>
    </row>
    <row r="169">
      <c r="A169" s="1"/>
      <c r="B169" s="78"/>
      <c r="C169" s="78"/>
      <c r="D169" s="78"/>
      <c r="E169" s="78"/>
      <c r="M169" s="79"/>
      <c r="N169" s="79"/>
      <c r="O169" s="79"/>
      <c r="P169" s="79"/>
      <c r="Q169" s="79"/>
      <c r="R169" s="79"/>
    </row>
    <row r="170">
      <c r="A170" s="1"/>
      <c r="B170" s="78"/>
      <c r="C170" s="78"/>
      <c r="D170" s="78"/>
      <c r="E170" s="78"/>
      <c r="M170" s="79"/>
      <c r="N170" s="79"/>
      <c r="O170" s="79"/>
      <c r="P170" s="79"/>
      <c r="Q170" s="79"/>
      <c r="R170" s="79"/>
    </row>
    <row r="171">
      <c r="A171" s="1"/>
      <c r="B171" s="78"/>
      <c r="C171" s="78"/>
      <c r="D171" s="78"/>
      <c r="E171" s="78"/>
      <c r="M171" s="79"/>
      <c r="N171" s="79"/>
      <c r="O171" s="79"/>
      <c r="P171" s="79"/>
      <c r="Q171" s="79"/>
      <c r="R171" s="79"/>
    </row>
    <row r="172">
      <c r="A172" s="1"/>
      <c r="B172" s="78"/>
      <c r="C172" s="78"/>
      <c r="D172" s="78"/>
      <c r="E172" s="78"/>
      <c r="M172" s="79"/>
      <c r="N172" s="79"/>
      <c r="O172" s="79"/>
      <c r="P172" s="79"/>
      <c r="Q172" s="79"/>
      <c r="R172" s="79"/>
    </row>
    <row r="173">
      <c r="A173" s="1"/>
      <c r="B173" s="78"/>
      <c r="C173" s="78"/>
      <c r="D173" s="78"/>
      <c r="E173" s="78"/>
      <c r="M173" s="79"/>
      <c r="N173" s="79"/>
      <c r="O173" s="79"/>
      <c r="P173" s="79"/>
      <c r="Q173" s="79"/>
      <c r="R173" s="79"/>
    </row>
    <row r="174">
      <c r="A174" s="1"/>
      <c r="B174" s="78"/>
      <c r="C174" s="78"/>
      <c r="D174" s="78"/>
      <c r="E174" s="78"/>
      <c r="M174" s="79"/>
      <c r="N174" s="79"/>
      <c r="O174" s="79"/>
      <c r="P174" s="79"/>
      <c r="Q174" s="79"/>
      <c r="R174" s="79"/>
    </row>
    <row r="175">
      <c r="A175" s="1"/>
      <c r="B175" s="78"/>
      <c r="C175" s="78"/>
      <c r="D175" s="78"/>
      <c r="E175" s="78"/>
      <c r="M175" s="79"/>
      <c r="N175" s="79"/>
      <c r="O175" s="79"/>
      <c r="P175" s="79"/>
      <c r="Q175" s="79"/>
      <c r="R175" s="79"/>
    </row>
    <row r="176">
      <c r="A176" s="1"/>
      <c r="B176" s="78"/>
      <c r="C176" s="78"/>
      <c r="D176" s="78"/>
      <c r="E176" s="78"/>
      <c r="M176" s="79"/>
      <c r="N176" s="79"/>
      <c r="O176" s="79"/>
      <c r="P176" s="79"/>
      <c r="Q176" s="79"/>
      <c r="R176" s="79"/>
    </row>
    <row r="177">
      <c r="A177" s="1"/>
      <c r="B177" s="78"/>
      <c r="C177" s="78"/>
      <c r="D177" s="78"/>
      <c r="E177" s="78"/>
      <c r="M177" s="79"/>
      <c r="N177" s="79"/>
      <c r="O177" s="79"/>
      <c r="P177" s="79"/>
      <c r="Q177" s="79"/>
      <c r="R177" s="79"/>
    </row>
    <row r="178">
      <c r="A178" s="1"/>
      <c r="B178" s="78"/>
      <c r="C178" s="78"/>
      <c r="D178" s="78"/>
      <c r="E178" s="78"/>
      <c r="M178" s="79"/>
      <c r="N178" s="79"/>
      <c r="O178" s="79"/>
      <c r="P178" s="79"/>
      <c r="Q178" s="79"/>
      <c r="R178" s="79"/>
    </row>
    <row r="179">
      <c r="A179" s="1"/>
      <c r="B179" s="78"/>
      <c r="C179" s="78"/>
      <c r="D179" s="78"/>
      <c r="E179" s="78"/>
      <c r="M179" s="79"/>
      <c r="N179" s="79"/>
      <c r="O179" s="79"/>
      <c r="P179" s="79"/>
      <c r="Q179" s="79"/>
      <c r="R179" s="79"/>
    </row>
    <row r="180">
      <c r="A180" s="1"/>
      <c r="B180" s="78"/>
      <c r="C180" s="78"/>
      <c r="D180" s="78"/>
      <c r="E180" s="78"/>
      <c r="M180" s="79"/>
      <c r="N180" s="79"/>
      <c r="O180" s="79"/>
      <c r="P180" s="79"/>
      <c r="Q180" s="79"/>
      <c r="R180" s="79"/>
    </row>
    <row r="181">
      <c r="A181" s="1"/>
      <c r="B181" s="78"/>
      <c r="C181" s="78"/>
      <c r="D181" s="78"/>
      <c r="E181" s="78"/>
      <c r="M181" s="79"/>
      <c r="N181" s="79"/>
      <c r="O181" s="79"/>
      <c r="P181" s="79"/>
      <c r="Q181" s="79"/>
      <c r="R181" s="79"/>
    </row>
    <row r="182">
      <c r="A182" s="1"/>
      <c r="B182" s="78"/>
      <c r="C182" s="78"/>
      <c r="D182" s="78"/>
      <c r="E182" s="78"/>
      <c r="M182" s="79"/>
      <c r="N182" s="79"/>
      <c r="O182" s="79"/>
      <c r="P182" s="79"/>
      <c r="Q182" s="79"/>
      <c r="R182" s="79"/>
    </row>
    <row r="183">
      <c r="A183" s="1"/>
      <c r="B183" s="78"/>
      <c r="C183" s="78"/>
      <c r="D183" s="78"/>
      <c r="E183" s="78"/>
      <c r="M183" s="79"/>
      <c r="N183" s="79"/>
      <c r="O183" s="79"/>
      <c r="P183" s="79"/>
      <c r="Q183" s="79"/>
      <c r="R183" s="79"/>
    </row>
    <row r="184">
      <c r="A184" s="1"/>
      <c r="B184" s="78"/>
      <c r="C184" s="78"/>
      <c r="D184" s="78"/>
      <c r="E184" s="78"/>
      <c r="M184" s="79"/>
      <c r="N184" s="79"/>
      <c r="O184" s="79"/>
      <c r="P184" s="79"/>
      <c r="Q184" s="79"/>
      <c r="R184" s="79"/>
    </row>
    <row r="185">
      <c r="A185" s="1"/>
      <c r="B185" s="78"/>
      <c r="C185" s="78"/>
      <c r="D185" s="78"/>
      <c r="E185" s="78"/>
      <c r="M185" s="79"/>
      <c r="N185" s="79"/>
      <c r="O185" s="79"/>
      <c r="P185" s="79"/>
      <c r="Q185" s="79"/>
      <c r="R185" s="79"/>
    </row>
    <row r="186">
      <c r="A186" s="1"/>
      <c r="B186" s="78"/>
      <c r="C186" s="78"/>
      <c r="D186" s="78"/>
      <c r="E186" s="78"/>
      <c r="M186" s="79"/>
      <c r="N186" s="79"/>
      <c r="O186" s="79"/>
      <c r="P186" s="79"/>
      <c r="Q186" s="79"/>
      <c r="R186" s="79"/>
    </row>
    <row r="187">
      <c r="A187" s="1"/>
      <c r="B187" s="78"/>
      <c r="C187" s="78"/>
      <c r="D187" s="78"/>
      <c r="E187" s="78"/>
      <c r="M187" s="79"/>
      <c r="N187" s="79"/>
      <c r="O187" s="79"/>
      <c r="P187" s="79"/>
      <c r="Q187" s="79"/>
      <c r="R187" s="79"/>
    </row>
    <row r="188">
      <c r="A188" s="1"/>
      <c r="B188" s="78"/>
      <c r="C188" s="78"/>
      <c r="D188" s="78"/>
      <c r="E188" s="78"/>
      <c r="M188" s="79"/>
      <c r="N188" s="79"/>
      <c r="O188" s="79"/>
      <c r="P188" s="79"/>
      <c r="Q188" s="79"/>
      <c r="R188" s="79"/>
    </row>
    <row r="189">
      <c r="A189" s="1"/>
      <c r="B189" s="78"/>
      <c r="C189" s="78"/>
      <c r="D189" s="78"/>
      <c r="E189" s="78"/>
      <c r="M189" s="79"/>
      <c r="N189" s="79"/>
      <c r="O189" s="79"/>
      <c r="P189" s="79"/>
      <c r="Q189" s="79"/>
      <c r="R189" s="79"/>
    </row>
    <row r="190">
      <c r="A190" s="1"/>
      <c r="B190" s="78"/>
      <c r="C190" s="78"/>
      <c r="D190" s="78"/>
      <c r="E190" s="78"/>
      <c r="M190" s="79"/>
      <c r="N190" s="79"/>
      <c r="O190" s="79"/>
      <c r="P190" s="79"/>
      <c r="Q190" s="79"/>
      <c r="R190" s="79"/>
    </row>
    <row r="191">
      <c r="A191" s="1"/>
      <c r="B191" s="78"/>
      <c r="C191" s="78"/>
      <c r="D191" s="78"/>
      <c r="E191" s="78"/>
      <c r="M191" s="79"/>
      <c r="N191" s="79"/>
      <c r="O191" s="79"/>
      <c r="P191" s="79"/>
      <c r="Q191" s="79"/>
      <c r="R191" s="79"/>
    </row>
    <row r="192">
      <c r="A192" s="1"/>
      <c r="B192" s="78"/>
      <c r="C192" s="78"/>
      <c r="D192" s="78"/>
      <c r="E192" s="78"/>
      <c r="M192" s="79"/>
      <c r="N192" s="79"/>
      <c r="O192" s="79"/>
      <c r="P192" s="79"/>
      <c r="Q192" s="79"/>
      <c r="R192" s="79"/>
    </row>
    <row r="193">
      <c r="A193" s="1"/>
      <c r="B193" s="78"/>
      <c r="C193" s="78"/>
      <c r="D193" s="78"/>
      <c r="E193" s="78"/>
      <c r="M193" s="79"/>
      <c r="N193" s="79"/>
      <c r="O193" s="79"/>
      <c r="P193" s="79"/>
      <c r="Q193" s="79"/>
      <c r="R193" s="79"/>
    </row>
    <row r="194">
      <c r="A194" s="1"/>
      <c r="B194" s="78"/>
      <c r="C194" s="78"/>
      <c r="D194" s="78"/>
      <c r="E194" s="78"/>
      <c r="M194" s="79"/>
      <c r="N194" s="79"/>
      <c r="O194" s="79"/>
      <c r="P194" s="79"/>
      <c r="Q194" s="79"/>
      <c r="R194" s="79"/>
    </row>
    <row r="195">
      <c r="A195" s="1"/>
      <c r="B195" s="78"/>
      <c r="C195" s="78"/>
      <c r="D195" s="78"/>
      <c r="E195" s="78"/>
      <c r="M195" s="79"/>
      <c r="N195" s="79"/>
      <c r="O195" s="79"/>
      <c r="P195" s="79"/>
      <c r="Q195" s="79"/>
      <c r="R195" s="79"/>
    </row>
    <row r="196">
      <c r="A196" s="1"/>
      <c r="B196" s="78"/>
      <c r="C196" s="78"/>
      <c r="D196" s="78"/>
      <c r="E196" s="78"/>
      <c r="M196" s="79"/>
      <c r="N196" s="79"/>
      <c r="O196" s="79"/>
      <c r="P196" s="79"/>
      <c r="Q196" s="79"/>
      <c r="R196" s="79"/>
    </row>
    <row r="197">
      <c r="A197" s="1"/>
      <c r="B197" s="78"/>
      <c r="C197" s="78"/>
      <c r="D197" s="78"/>
      <c r="E197" s="78"/>
      <c r="M197" s="79"/>
      <c r="N197" s="79"/>
      <c r="O197" s="79"/>
      <c r="P197" s="79"/>
      <c r="Q197" s="79"/>
      <c r="R197" s="79"/>
    </row>
    <row r="198">
      <c r="A198" s="1"/>
      <c r="B198" s="78"/>
      <c r="C198" s="78"/>
      <c r="D198" s="78"/>
      <c r="E198" s="78"/>
      <c r="M198" s="79"/>
      <c r="N198" s="79"/>
      <c r="O198" s="79"/>
      <c r="P198" s="79"/>
      <c r="Q198" s="79"/>
      <c r="R198" s="79"/>
    </row>
    <row r="199">
      <c r="A199" s="1"/>
      <c r="B199" s="78"/>
      <c r="C199" s="78"/>
      <c r="D199" s="78"/>
      <c r="E199" s="78"/>
      <c r="M199" s="79"/>
      <c r="N199" s="79"/>
      <c r="O199" s="79"/>
      <c r="P199" s="79"/>
      <c r="Q199" s="79"/>
      <c r="R199" s="79"/>
    </row>
    <row r="200">
      <c r="A200" s="1"/>
      <c r="B200" s="78"/>
      <c r="C200" s="78"/>
      <c r="D200" s="78"/>
      <c r="E200" s="78"/>
      <c r="M200" s="79"/>
      <c r="N200" s="79"/>
      <c r="O200" s="79"/>
      <c r="P200" s="79"/>
      <c r="Q200" s="79"/>
      <c r="R200" s="79"/>
    </row>
    <row r="201">
      <c r="A201" s="1"/>
      <c r="B201" s="78"/>
      <c r="C201" s="78"/>
      <c r="D201" s="78"/>
      <c r="E201" s="78"/>
      <c r="M201" s="79"/>
      <c r="N201" s="79"/>
      <c r="O201" s="79"/>
      <c r="P201" s="79"/>
      <c r="Q201" s="79"/>
      <c r="R201" s="79"/>
    </row>
    <row r="202">
      <c r="A202" s="1"/>
      <c r="B202" s="78"/>
      <c r="C202" s="78"/>
      <c r="D202" s="78"/>
      <c r="E202" s="78"/>
      <c r="M202" s="79"/>
      <c r="N202" s="79"/>
      <c r="O202" s="79"/>
      <c r="P202" s="79"/>
      <c r="Q202" s="79"/>
      <c r="R202" s="79"/>
    </row>
    <row r="203">
      <c r="A203" s="1"/>
      <c r="B203" s="78"/>
      <c r="C203" s="78"/>
      <c r="D203" s="78"/>
      <c r="E203" s="78"/>
      <c r="M203" s="79"/>
      <c r="N203" s="79"/>
      <c r="O203" s="79"/>
      <c r="P203" s="79"/>
      <c r="Q203" s="79"/>
      <c r="R203" s="79"/>
    </row>
    <row r="204">
      <c r="A204" s="1"/>
      <c r="B204" s="78"/>
      <c r="C204" s="78"/>
      <c r="D204" s="78"/>
      <c r="E204" s="78"/>
      <c r="M204" s="79"/>
      <c r="N204" s="79"/>
      <c r="O204" s="79"/>
      <c r="P204" s="79"/>
      <c r="Q204" s="79"/>
      <c r="R204" s="79"/>
    </row>
    <row r="205">
      <c r="A205" s="1"/>
      <c r="B205" s="78"/>
      <c r="C205" s="78"/>
      <c r="D205" s="78"/>
      <c r="E205" s="78"/>
      <c r="M205" s="79"/>
      <c r="N205" s="79"/>
      <c r="O205" s="79"/>
      <c r="P205" s="79"/>
      <c r="Q205" s="79"/>
      <c r="R205" s="79"/>
    </row>
    <row r="206">
      <c r="A206" s="1"/>
      <c r="B206" s="78"/>
      <c r="C206" s="78"/>
      <c r="D206" s="78"/>
      <c r="E206" s="78"/>
      <c r="M206" s="79"/>
      <c r="N206" s="79"/>
      <c r="O206" s="79"/>
      <c r="P206" s="79"/>
      <c r="Q206" s="79"/>
      <c r="R206" s="79"/>
    </row>
    <row r="207">
      <c r="A207" s="1"/>
      <c r="B207" s="78"/>
      <c r="C207" s="78"/>
      <c r="D207" s="78"/>
      <c r="E207" s="78"/>
      <c r="M207" s="79"/>
      <c r="N207" s="79"/>
      <c r="O207" s="79"/>
      <c r="P207" s="79"/>
      <c r="Q207" s="79"/>
      <c r="R207" s="79"/>
    </row>
    <row r="208">
      <c r="A208" s="1"/>
      <c r="B208" s="78"/>
      <c r="C208" s="78"/>
      <c r="D208" s="78"/>
      <c r="E208" s="78"/>
      <c r="M208" s="79"/>
      <c r="N208" s="79"/>
      <c r="O208" s="79"/>
      <c r="P208" s="79"/>
      <c r="Q208" s="79"/>
      <c r="R208" s="79"/>
    </row>
    <row r="209">
      <c r="A209" s="1"/>
      <c r="B209" s="78"/>
      <c r="C209" s="78"/>
      <c r="D209" s="78"/>
      <c r="E209" s="78"/>
      <c r="M209" s="79"/>
      <c r="N209" s="79"/>
      <c r="O209" s="79"/>
      <c r="P209" s="79"/>
      <c r="Q209" s="79"/>
      <c r="R209" s="79"/>
    </row>
    <row r="210">
      <c r="A210" s="1"/>
      <c r="B210" s="78"/>
      <c r="C210" s="78"/>
      <c r="D210" s="78"/>
      <c r="E210" s="78"/>
      <c r="M210" s="79"/>
      <c r="N210" s="79"/>
      <c r="O210" s="79"/>
      <c r="P210" s="79"/>
      <c r="Q210" s="79"/>
      <c r="R210" s="79"/>
    </row>
    <row r="211">
      <c r="A211" s="1"/>
      <c r="B211" s="78"/>
      <c r="C211" s="78"/>
      <c r="D211" s="78"/>
      <c r="E211" s="78"/>
      <c r="M211" s="79"/>
      <c r="N211" s="79"/>
      <c r="O211" s="79"/>
      <c r="P211" s="79"/>
      <c r="Q211" s="79"/>
      <c r="R211" s="79"/>
    </row>
    <row r="212">
      <c r="A212" s="1"/>
      <c r="B212" s="78"/>
      <c r="C212" s="78"/>
      <c r="D212" s="78"/>
      <c r="E212" s="78"/>
      <c r="M212" s="79"/>
      <c r="N212" s="79"/>
      <c r="O212" s="79"/>
      <c r="P212" s="79"/>
      <c r="Q212" s="79"/>
      <c r="R212" s="79"/>
    </row>
    <row r="213">
      <c r="A213" s="1"/>
      <c r="B213" s="78"/>
      <c r="C213" s="78"/>
      <c r="D213" s="78"/>
      <c r="E213" s="78"/>
      <c r="M213" s="79"/>
      <c r="N213" s="79"/>
      <c r="O213" s="79"/>
      <c r="P213" s="79"/>
      <c r="Q213" s="79"/>
      <c r="R213" s="79"/>
    </row>
    <row r="214">
      <c r="A214" s="1"/>
      <c r="B214" s="78"/>
      <c r="C214" s="78"/>
      <c r="D214" s="78"/>
      <c r="E214" s="78"/>
      <c r="M214" s="79"/>
      <c r="N214" s="79"/>
      <c r="O214" s="79"/>
      <c r="P214" s="79"/>
      <c r="Q214" s="79"/>
      <c r="R214" s="79"/>
    </row>
    <row r="215">
      <c r="A215" s="1"/>
      <c r="B215" s="78"/>
      <c r="C215" s="78"/>
      <c r="D215" s="78"/>
      <c r="E215" s="78"/>
      <c r="M215" s="79"/>
      <c r="N215" s="79"/>
      <c r="O215" s="79"/>
      <c r="P215" s="79"/>
      <c r="Q215" s="79"/>
      <c r="R215" s="79"/>
    </row>
    <row r="216">
      <c r="A216" s="1"/>
      <c r="B216" s="78"/>
      <c r="C216" s="78"/>
      <c r="D216" s="78"/>
      <c r="E216" s="78"/>
      <c r="M216" s="79"/>
      <c r="N216" s="79"/>
      <c r="O216" s="79"/>
      <c r="P216" s="79"/>
      <c r="Q216" s="79"/>
      <c r="R216" s="79"/>
    </row>
    <row r="217">
      <c r="A217" s="1"/>
      <c r="B217" s="78"/>
      <c r="C217" s="78"/>
      <c r="D217" s="78"/>
      <c r="E217" s="78"/>
      <c r="M217" s="79"/>
      <c r="N217" s="79"/>
      <c r="O217" s="79"/>
      <c r="P217" s="79"/>
      <c r="Q217" s="79"/>
      <c r="R217" s="79"/>
    </row>
    <row r="218">
      <c r="A218" s="1"/>
      <c r="B218" s="78"/>
      <c r="C218" s="78"/>
      <c r="D218" s="78"/>
      <c r="E218" s="78"/>
      <c r="M218" s="79"/>
      <c r="N218" s="79"/>
      <c r="O218" s="79"/>
      <c r="P218" s="79"/>
      <c r="Q218" s="79"/>
      <c r="R218" s="79"/>
    </row>
    <row r="219">
      <c r="A219" s="1"/>
      <c r="B219" s="78"/>
      <c r="C219" s="78"/>
      <c r="D219" s="78"/>
      <c r="E219" s="78"/>
      <c r="M219" s="79"/>
      <c r="N219" s="79"/>
      <c r="O219" s="79"/>
      <c r="P219" s="79"/>
      <c r="Q219" s="79"/>
      <c r="R219" s="79"/>
    </row>
    <row r="220">
      <c r="A220" s="1"/>
      <c r="B220" s="78"/>
      <c r="C220" s="78"/>
      <c r="D220" s="78"/>
      <c r="E220" s="78"/>
      <c r="M220" s="79"/>
      <c r="N220" s="79"/>
      <c r="O220" s="79"/>
      <c r="P220" s="79"/>
      <c r="Q220" s="79"/>
      <c r="R220" s="79"/>
    </row>
    <row r="221">
      <c r="A221" s="1"/>
      <c r="B221" s="78"/>
      <c r="C221" s="78"/>
      <c r="D221" s="78"/>
      <c r="E221" s="78"/>
      <c r="M221" s="79"/>
      <c r="N221" s="79"/>
      <c r="O221" s="79"/>
      <c r="P221" s="79"/>
      <c r="Q221" s="79"/>
      <c r="R221" s="79"/>
    </row>
    <row r="222">
      <c r="A222" s="1"/>
      <c r="B222" s="78"/>
      <c r="C222" s="78"/>
      <c r="D222" s="78"/>
      <c r="E222" s="78"/>
      <c r="M222" s="79"/>
      <c r="N222" s="79"/>
      <c r="O222" s="79"/>
      <c r="P222" s="79"/>
      <c r="Q222" s="79"/>
      <c r="R222" s="79"/>
    </row>
    <row r="223">
      <c r="A223" s="1"/>
      <c r="B223" s="78"/>
      <c r="C223" s="78"/>
      <c r="D223" s="78"/>
      <c r="E223" s="78"/>
      <c r="M223" s="79"/>
      <c r="N223" s="79"/>
      <c r="O223" s="79"/>
      <c r="P223" s="79"/>
      <c r="Q223" s="79"/>
      <c r="R223" s="79"/>
    </row>
    <row r="224">
      <c r="A224" s="1"/>
      <c r="B224" s="78"/>
      <c r="C224" s="78"/>
      <c r="D224" s="78"/>
      <c r="E224" s="78"/>
      <c r="M224" s="79"/>
      <c r="N224" s="79"/>
      <c r="O224" s="79"/>
      <c r="P224" s="79"/>
      <c r="Q224" s="79"/>
      <c r="R224" s="79"/>
    </row>
    <row r="225">
      <c r="A225" s="1"/>
      <c r="B225" s="78"/>
      <c r="C225" s="78"/>
      <c r="D225" s="78"/>
      <c r="E225" s="78"/>
      <c r="M225" s="79"/>
      <c r="N225" s="79"/>
      <c r="O225" s="79"/>
      <c r="P225" s="79"/>
      <c r="Q225" s="79"/>
      <c r="R225" s="79"/>
    </row>
    <row r="226">
      <c r="A226" s="1"/>
      <c r="B226" s="78"/>
      <c r="C226" s="78"/>
      <c r="D226" s="78"/>
      <c r="E226" s="78"/>
      <c r="M226" s="79"/>
      <c r="N226" s="79"/>
      <c r="O226" s="79"/>
      <c r="P226" s="79"/>
      <c r="Q226" s="79"/>
      <c r="R226" s="79"/>
    </row>
    <row r="227">
      <c r="A227" s="1"/>
      <c r="B227" s="78"/>
      <c r="C227" s="78"/>
      <c r="D227" s="78"/>
      <c r="E227" s="78"/>
      <c r="M227" s="79"/>
      <c r="N227" s="79"/>
      <c r="O227" s="79"/>
      <c r="P227" s="79"/>
      <c r="Q227" s="79"/>
      <c r="R227" s="79"/>
    </row>
    <row r="228">
      <c r="A228" s="1"/>
      <c r="B228" s="78"/>
      <c r="C228" s="78"/>
      <c r="D228" s="78"/>
      <c r="E228" s="78"/>
      <c r="M228" s="79"/>
      <c r="N228" s="79"/>
      <c r="O228" s="79"/>
      <c r="P228" s="79"/>
      <c r="Q228" s="79"/>
      <c r="R228" s="79"/>
    </row>
    <row r="229">
      <c r="A229" s="1"/>
      <c r="B229" s="78"/>
      <c r="C229" s="78"/>
      <c r="D229" s="78"/>
      <c r="E229" s="78"/>
      <c r="M229" s="79"/>
      <c r="N229" s="79"/>
      <c r="O229" s="79"/>
      <c r="P229" s="79"/>
      <c r="Q229" s="79"/>
      <c r="R229" s="79"/>
    </row>
    <row r="230">
      <c r="A230" s="1"/>
      <c r="B230" s="78"/>
      <c r="C230" s="78"/>
      <c r="D230" s="78"/>
      <c r="E230" s="78"/>
      <c r="M230" s="79"/>
      <c r="N230" s="79"/>
      <c r="O230" s="79"/>
      <c r="P230" s="79"/>
      <c r="Q230" s="79"/>
      <c r="R230" s="79"/>
    </row>
    <row r="231">
      <c r="A231" s="1"/>
      <c r="B231" s="78"/>
      <c r="C231" s="78"/>
      <c r="D231" s="78"/>
      <c r="E231" s="78"/>
      <c r="M231" s="79"/>
      <c r="N231" s="79"/>
      <c r="O231" s="79"/>
      <c r="P231" s="79"/>
      <c r="Q231" s="79"/>
      <c r="R231" s="79"/>
    </row>
    <row r="232">
      <c r="A232" s="1"/>
      <c r="B232" s="78"/>
      <c r="C232" s="78"/>
      <c r="D232" s="78"/>
      <c r="E232" s="78"/>
      <c r="M232" s="79"/>
      <c r="N232" s="79"/>
      <c r="O232" s="79"/>
      <c r="P232" s="79"/>
      <c r="Q232" s="79"/>
      <c r="R232" s="79"/>
    </row>
    <row r="233">
      <c r="A233" s="1"/>
      <c r="B233" s="78"/>
      <c r="C233" s="78"/>
      <c r="D233" s="78"/>
      <c r="E233" s="78"/>
      <c r="M233" s="79"/>
      <c r="N233" s="79"/>
      <c r="O233" s="79"/>
      <c r="P233" s="79"/>
      <c r="Q233" s="79"/>
      <c r="R233" s="79"/>
    </row>
    <row r="234">
      <c r="A234" s="1"/>
      <c r="B234" s="78"/>
      <c r="C234" s="78"/>
      <c r="D234" s="78"/>
      <c r="E234" s="78"/>
      <c r="M234" s="79"/>
      <c r="N234" s="79"/>
      <c r="O234" s="79"/>
      <c r="P234" s="79"/>
      <c r="Q234" s="79"/>
      <c r="R234" s="79"/>
    </row>
    <row r="235">
      <c r="A235" s="1"/>
      <c r="B235" s="78"/>
      <c r="C235" s="78"/>
      <c r="D235" s="78"/>
      <c r="E235" s="78"/>
      <c r="M235" s="79"/>
      <c r="N235" s="79"/>
      <c r="O235" s="79"/>
      <c r="P235" s="79"/>
      <c r="Q235" s="79"/>
      <c r="R235" s="79"/>
    </row>
    <row r="236">
      <c r="A236" s="1"/>
      <c r="B236" s="78"/>
      <c r="C236" s="78"/>
      <c r="D236" s="78"/>
      <c r="E236" s="78"/>
      <c r="M236" s="79"/>
      <c r="N236" s="79"/>
      <c r="O236" s="79"/>
      <c r="P236" s="79"/>
      <c r="Q236" s="79"/>
      <c r="R236" s="79"/>
    </row>
    <row r="237">
      <c r="A237" s="1"/>
      <c r="B237" s="78"/>
      <c r="C237" s="78"/>
      <c r="D237" s="78"/>
      <c r="E237" s="78"/>
      <c r="M237" s="79"/>
      <c r="N237" s="79"/>
      <c r="O237" s="79"/>
      <c r="P237" s="79"/>
      <c r="Q237" s="79"/>
      <c r="R237" s="79"/>
    </row>
    <row r="238">
      <c r="A238" s="1"/>
      <c r="B238" s="78"/>
      <c r="C238" s="78"/>
      <c r="D238" s="78"/>
      <c r="E238" s="78"/>
      <c r="M238" s="79"/>
      <c r="N238" s="79"/>
      <c r="O238" s="79"/>
      <c r="P238" s="79"/>
      <c r="Q238" s="79"/>
      <c r="R238" s="79"/>
    </row>
    <row r="239">
      <c r="A239" s="1"/>
      <c r="B239" s="78"/>
      <c r="C239" s="78"/>
      <c r="D239" s="78"/>
      <c r="E239" s="78"/>
      <c r="M239" s="79"/>
      <c r="N239" s="79"/>
      <c r="O239" s="79"/>
      <c r="P239" s="79"/>
      <c r="Q239" s="79"/>
      <c r="R239" s="79"/>
    </row>
    <row r="240">
      <c r="A240" s="1"/>
      <c r="B240" s="78"/>
      <c r="C240" s="78"/>
      <c r="D240" s="78"/>
      <c r="E240" s="78"/>
      <c r="M240" s="79"/>
      <c r="N240" s="79"/>
      <c r="O240" s="79"/>
      <c r="P240" s="79"/>
      <c r="Q240" s="79"/>
      <c r="R240" s="79"/>
    </row>
    <row r="241">
      <c r="A241" s="1"/>
      <c r="B241" s="78"/>
      <c r="C241" s="78"/>
      <c r="D241" s="78"/>
      <c r="E241" s="78"/>
      <c r="M241" s="79"/>
      <c r="N241" s="79"/>
      <c r="O241" s="79"/>
      <c r="P241" s="79"/>
      <c r="Q241" s="79"/>
      <c r="R241" s="79"/>
    </row>
    <row r="242">
      <c r="A242" s="1"/>
      <c r="B242" s="78"/>
      <c r="C242" s="78"/>
      <c r="D242" s="78"/>
      <c r="E242" s="78"/>
      <c r="M242" s="79"/>
      <c r="N242" s="79"/>
      <c r="O242" s="79"/>
      <c r="P242" s="79"/>
      <c r="Q242" s="79"/>
      <c r="R242" s="79"/>
    </row>
    <row r="243">
      <c r="A243" s="1"/>
      <c r="B243" s="78"/>
      <c r="C243" s="78"/>
      <c r="D243" s="78"/>
      <c r="E243" s="78"/>
      <c r="M243" s="79"/>
      <c r="N243" s="79"/>
      <c r="O243" s="79"/>
      <c r="P243" s="79"/>
      <c r="Q243" s="79"/>
      <c r="R243" s="79"/>
    </row>
    <row r="244">
      <c r="A244" s="1"/>
      <c r="B244" s="78"/>
      <c r="C244" s="78"/>
      <c r="D244" s="78"/>
      <c r="E244" s="78"/>
      <c r="M244" s="79"/>
      <c r="N244" s="79"/>
      <c r="O244" s="79"/>
      <c r="P244" s="79"/>
      <c r="Q244" s="79"/>
      <c r="R244" s="79"/>
    </row>
    <row r="245">
      <c r="A245" s="1"/>
      <c r="B245" s="78"/>
      <c r="C245" s="78"/>
      <c r="D245" s="78"/>
      <c r="E245" s="78"/>
      <c r="M245" s="79"/>
      <c r="N245" s="79"/>
      <c r="O245" s="79"/>
      <c r="P245" s="79"/>
      <c r="Q245" s="79"/>
      <c r="R245" s="79"/>
    </row>
    <row r="246">
      <c r="A246" s="1"/>
      <c r="B246" s="78"/>
      <c r="C246" s="78"/>
      <c r="D246" s="78"/>
      <c r="E246" s="78"/>
      <c r="M246" s="79"/>
      <c r="N246" s="79"/>
      <c r="O246" s="79"/>
      <c r="P246" s="79"/>
      <c r="Q246" s="79"/>
      <c r="R246" s="79"/>
    </row>
    <row r="247">
      <c r="A247" s="1"/>
      <c r="B247" s="78"/>
      <c r="C247" s="78"/>
      <c r="D247" s="78"/>
      <c r="E247" s="78"/>
      <c r="M247" s="79"/>
      <c r="N247" s="79"/>
      <c r="O247" s="79"/>
      <c r="P247" s="79"/>
      <c r="Q247" s="79"/>
      <c r="R247" s="79"/>
    </row>
    <row r="248">
      <c r="A248" s="1"/>
      <c r="B248" s="78"/>
      <c r="C248" s="78"/>
      <c r="D248" s="78"/>
      <c r="E248" s="78"/>
      <c r="M248" s="79"/>
      <c r="N248" s="79"/>
      <c r="O248" s="79"/>
      <c r="P248" s="79"/>
      <c r="Q248" s="79"/>
      <c r="R248" s="79"/>
    </row>
    <row r="249">
      <c r="A249" s="1"/>
      <c r="B249" s="78"/>
      <c r="C249" s="78"/>
      <c r="D249" s="78"/>
      <c r="E249" s="78"/>
      <c r="M249" s="79"/>
      <c r="N249" s="79"/>
      <c r="O249" s="79"/>
      <c r="P249" s="79"/>
      <c r="Q249" s="79"/>
      <c r="R249" s="79"/>
    </row>
    <row r="250">
      <c r="A250" s="1"/>
      <c r="B250" s="78"/>
      <c r="C250" s="78"/>
      <c r="D250" s="78"/>
      <c r="E250" s="78"/>
      <c r="M250" s="79"/>
      <c r="N250" s="79"/>
      <c r="O250" s="79"/>
      <c r="P250" s="79"/>
      <c r="Q250" s="79"/>
      <c r="R250" s="79"/>
    </row>
    <row r="251">
      <c r="A251" s="1"/>
      <c r="B251" s="78"/>
      <c r="C251" s="78"/>
      <c r="D251" s="78"/>
      <c r="E251" s="78"/>
      <c r="M251" s="79"/>
      <c r="N251" s="79"/>
      <c r="O251" s="79"/>
      <c r="P251" s="79"/>
      <c r="Q251" s="79"/>
      <c r="R251" s="79"/>
    </row>
    <row r="252">
      <c r="A252" s="1"/>
      <c r="B252" s="78"/>
      <c r="C252" s="78"/>
      <c r="D252" s="78"/>
      <c r="E252" s="78"/>
      <c r="M252" s="79"/>
      <c r="N252" s="79"/>
      <c r="O252" s="79"/>
      <c r="P252" s="79"/>
      <c r="Q252" s="79"/>
      <c r="R252" s="79"/>
    </row>
    <row r="253">
      <c r="A253" s="1"/>
      <c r="B253" s="78"/>
      <c r="C253" s="78"/>
      <c r="D253" s="78"/>
      <c r="E253" s="78"/>
      <c r="M253" s="79"/>
      <c r="N253" s="79"/>
      <c r="O253" s="79"/>
      <c r="P253" s="79"/>
      <c r="Q253" s="79"/>
      <c r="R253" s="79"/>
    </row>
    <row r="254">
      <c r="A254" s="1"/>
      <c r="B254" s="78"/>
      <c r="C254" s="78"/>
      <c r="D254" s="78"/>
      <c r="E254" s="78"/>
      <c r="M254" s="79"/>
      <c r="N254" s="79"/>
      <c r="O254" s="79"/>
      <c r="P254" s="79"/>
      <c r="Q254" s="79"/>
      <c r="R254" s="79"/>
    </row>
    <row r="255">
      <c r="A255" s="1"/>
      <c r="B255" s="78"/>
      <c r="C255" s="78"/>
      <c r="D255" s="78"/>
      <c r="E255" s="78"/>
      <c r="M255" s="79"/>
      <c r="N255" s="79"/>
      <c r="O255" s="79"/>
      <c r="P255" s="79"/>
      <c r="Q255" s="79"/>
      <c r="R255" s="79"/>
    </row>
    <row r="256">
      <c r="A256" s="1"/>
      <c r="B256" s="78"/>
      <c r="C256" s="78"/>
      <c r="D256" s="78"/>
      <c r="E256" s="78"/>
      <c r="M256" s="79"/>
      <c r="N256" s="79"/>
      <c r="O256" s="79"/>
      <c r="P256" s="79"/>
      <c r="Q256" s="79"/>
      <c r="R256" s="79"/>
    </row>
    <row r="257">
      <c r="A257" s="1"/>
      <c r="B257" s="78"/>
      <c r="C257" s="78"/>
      <c r="D257" s="78"/>
      <c r="E257" s="78"/>
      <c r="M257" s="79"/>
      <c r="N257" s="79"/>
      <c r="O257" s="79"/>
      <c r="P257" s="79"/>
      <c r="Q257" s="79"/>
      <c r="R257" s="79"/>
    </row>
    <row r="258">
      <c r="A258" s="1"/>
      <c r="B258" s="78"/>
      <c r="C258" s="78"/>
      <c r="D258" s="78"/>
      <c r="E258" s="78"/>
      <c r="M258" s="79"/>
      <c r="N258" s="79"/>
      <c r="O258" s="79"/>
      <c r="P258" s="79"/>
      <c r="Q258" s="79"/>
      <c r="R258" s="79"/>
    </row>
    <row r="259">
      <c r="A259" s="1"/>
      <c r="B259" s="78"/>
      <c r="C259" s="78"/>
      <c r="D259" s="78"/>
      <c r="E259" s="78"/>
      <c r="M259" s="79"/>
      <c r="N259" s="79"/>
      <c r="O259" s="79"/>
      <c r="P259" s="79"/>
      <c r="Q259" s="79"/>
      <c r="R259" s="79"/>
    </row>
    <row r="260">
      <c r="A260" s="1"/>
      <c r="B260" s="78"/>
      <c r="C260" s="78"/>
      <c r="D260" s="78"/>
      <c r="E260" s="78"/>
      <c r="M260" s="79"/>
      <c r="N260" s="79"/>
      <c r="O260" s="79"/>
      <c r="P260" s="79"/>
      <c r="Q260" s="79"/>
      <c r="R260" s="79"/>
    </row>
    <row r="261">
      <c r="A261" s="1"/>
      <c r="B261" s="78"/>
      <c r="C261" s="78"/>
      <c r="D261" s="78"/>
      <c r="E261" s="78"/>
      <c r="M261" s="79"/>
      <c r="N261" s="79"/>
      <c r="O261" s="79"/>
      <c r="P261" s="79"/>
      <c r="Q261" s="79"/>
      <c r="R261" s="79"/>
    </row>
    <row r="262">
      <c r="A262" s="1"/>
      <c r="B262" s="78"/>
      <c r="C262" s="78"/>
      <c r="D262" s="78"/>
      <c r="E262" s="78"/>
      <c r="M262" s="79"/>
      <c r="N262" s="79"/>
      <c r="O262" s="79"/>
      <c r="P262" s="79"/>
      <c r="Q262" s="79"/>
      <c r="R262" s="79"/>
    </row>
    <row r="263">
      <c r="A263" s="1"/>
      <c r="B263" s="78"/>
      <c r="C263" s="78"/>
      <c r="D263" s="78"/>
      <c r="E263" s="78"/>
      <c r="M263" s="79"/>
      <c r="N263" s="79"/>
      <c r="O263" s="79"/>
      <c r="P263" s="79"/>
      <c r="Q263" s="79"/>
      <c r="R263" s="79"/>
    </row>
    <row r="264">
      <c r="A264" s="1"/>
      <c r="B264" s="78"/>
      <c r="C264" s="78"/>
      <c r="D264" s="78"/>
      <c r="E264" s="78"/>
      <c r="M264" s="79"/>
      <c r="N264" s="79"/>
      <c r="O264" s="79"/>
      <c r="P264" s="79"/>
      <c r="Q264" s="79"/>
      <c r="R264" s="79"/>
    </row>
    <row r="265">
      <c r="A265" s="1"/>
      <c r="B265" s="78"/>
      <c r="C265" s="78"/>
      <c r="D265" s="78"/>
      <c r="E265" s="78"/>
      <c r="M265" s="79"/>
      <c r="N265" s="79"/>
      <c r="O265" s="79"/>
      <c r="P265" s="79"/>
      <c r="Q265" s="79"/>
      <c r="R265" s="79"/>
    </row>
    <row r="266">
      <c r="A266" s="1"/>
      <c r="B266" s="78"/>
      <c r="C266" s="78"/>
      <c r="D266" s="78"/>
      <c r="E266" s="78"/>
      <c r="M266" s="79"/>
      <c r="N266" s="79"/>
      <c r="O266" s="79"/>
      <c r="P266" s="79"/>
      <c r="Q266" s="79"/>
      <c r="R266" s="79"/>
    </row>
    <row r="267">
      <c r="A267" s="1"/>
      <c r="B267" s="78"/>
      <c r="C267" s="78"/>
      <c r="D267" s="78"/>
      <c r="E267" s="78"/>
      <c r="M267" s="79"/>
      <c r="N267" s="79"/>
      <c r="O267" s="79"/>
      <c r="P267" s="79"/>
      <c r="Q267" s="79"/>
      <c r="R267" s="79"/>
    </row>
    <row r="268">
      <c r="A268" s="1"/>
      <c r="B268" s="78"/>
      <c r="C268" s="78"/>
      <c r="D268" s="78"/>
      <c r="E268" s="78"/>
      <c r="M268" s="79"/>
      <c r="N268" s="79"/>
      <c r="O268" s="79"/>
      <c r="P268" s="79"/>
      <c r="Q268" s="79"/>
      <c r="R268" s="79"/>
    </row>
    <row r="269">
      <c r="A269" s="1"/>
      <c r="B269" s="78"/>
      <c r="C269" s="78"/>
      <c r="D269" s="78"/>
      <c r="E269" s="78"/>
      <c r="M269" s="79"/>
      <c r="N269" s="79"/>
      <c r="O269" s="79"/>
      <c r="P269" s="79"/>
      <c r="Q269" s="79"/>
      <c r="R269" s="79"/>
    </row>
    <row r="270">
      <c r="A270" s="1"/>
      <c r="B270" s="78"/>
      <c r="C270" s="78"/>
      <c r="D270" s="78"/>
      <c r="E270" s="78"/>
      <c r="M270" s="79"/>
      <c r="N270" s="79"/>
      <c r="O270" s="79"/>
      <c r="P270" s="79"/>
      <c r="Q270" s="79"/>
      <c r="R270" s="79"/>
    </row>
    <row r="271">
      <c r="A271" s="1"/>
      <c r="B271" s="78"/>
      <c r="C271" s="78"/>
      <c r="D271" s="78"/>
      <c r="E271" s="78"/>
      <c r="M271" s="79"/>
      <c r="N271" s="79"/>
      <c r="O271" s="79"/>
      <c r="P271" s="79"/>
      <c r="Q271" s="79"/>
      <c r="R271" s="79"/>
    </row>
    <row r="272">
      <c r="A272" s="1"/>
      <c r="B272" s="78"/>
      <c r="C272" s="78"/>
      <c r="D272" s="78"/>
      <c r="E272" s="78"/>
      <c r="M272" s="79"/>
      <c r="N272" s="79"/>
      <c r="O272" s="79"/>
      <c r="P272" s="79"/>
      <c r="Q272" s="79"/>
      <c r="R272" s="79"/>
    </row>
    <row r="273">
      <c r="A273" s="1"/>
      <c r="B273" s="78"/>
      <c r="C273" s="78"/>
      <c r="D273" s="78"/>
      <c r="E273" s="78"/>
      <c r="M273" s="79"/>
      <c r="N273" s="79"/>
      <c r="O273" s="79"/>
      <c r="P273" s="79"/>
      <c r="Q273" s="79"/>
      <c r="R273" s="79"/>
    </row>
    <row r="274">
      <c r="A274" s="1"/>
      <c r="B274" s="78"/>
      <c r="C274" s="78"/>
      <c r="D274" s="78"/>
      <c r="E274" s="78"/>
      <c r="M274" s="79"/>
      <c r="N274" s="79"/>
      <c r="O274" s="79"/>
      <c r="P274" s="79"/>
      <c r="Q274" s="79"/>
      <c r="R274" s="79"/>
    </row>
    <row r="275">
      <c r="A275" s="1"/>
      <c r="B275" s="78"/>
      <c r="C275" s="78"/>
      <c r="D275" s="78"/>
      <c r="E275" s="78"/>
      <c r="M275" s="79"/>
      <c r="N275" s="79"/>
      <c r="O275" s="79"/>
      <c r="P275" s="79"/>
      <c r="Q275" s="79"/>
      <c r="R275" s="79"/>
    </row>
    <row r="276">
      <c r="A276" s="1"/>
      <c r="B276" s="78"/>
      <c r="C276" s="78"/>
      <c r="D276" s="78"/>
      <c r="E276" s="78"/>
      <c r="M276" s="79"/>
      <c r="N276" s="79"/>
      <c r="O276" s="79"/>
      <c r="P276" s="79"/>
      <c r="Q276" s="79"/>
      <c r="R276" s="79"/>
    </row>
    <row r="277">
      <c r="A277" s="1"/>
      <c r="B277" s="78"/>
      <c r="C277" s="78"/>
      <c r="D277" s="78"/>
      <c r="E277" s="78"/>
      <c r="M277" s="79"/>
      <c r="N277" s="79"/>
      <c r="O277" s="79"/>
      <c r="P277" s="79"/>
      <c r="Q277" s="79"/>
      <c r="R277" s="79"/>
    </row>
    <row r="278">
      <c r="A278" s="1"/>
      <c r="B278" s="78"/>
      <c r="C278" s="78"/>
      <c r="D278" s="78"/>
      <c r="E278" s="78"/>
      <c r="M278" s="79"/>
      <c r="N278" s="79"/>
      <c r="O278" s="79"/>
      <c r="P278" s="79"/>
      <c r="Q278" s="79"/>
      <c r="R278" s="79"/>
    </row>
    <row r="279">
      <c r="A279" s="1"/>
      <c r="B279" s="78"/>
      <c r="C279" s="78"/>
      <c r="D279" s="78"/>
      <c r="E279" s="78"/>
      <c r="M279" s="79"/>
      <c r="N279" s="79"/>
      <c r="O279" s="79"/>
      <c r="P279" s="79"/>
      <c r="Q279" s="79"/>
      <c r="R279" s="79"/>
    </row>
    <row r="280">
      <c r="A280" s="1"/>
      <c r="B280" s="78"/>
      <c r="C280" s="78"/>
      <c r="D280" s="78"/>
      <c r="E280" s="78"/>
      <c r="M280" s="79"/>
      <c r="N280" s="79"/>
      <c r="O280" s="79"/>
      <c r="P280" s="79"/>
      <c r="Q280" s="79"/>
      <c r="R280" s="79"/>
    </row>
    <row r="281">
      <c r="A281" s="1"/>
      <c r="B281" s="78"/>
      <c r="C281" s="78"/>
      <c r="D281" s="78"/>
      <c r="E281" s="78"/>
      <c r="M281" s="79"/>
      <c r="N281" s="79"/>
      <c r="O281" s="79"/>
      <c r="P281" s="79"/>
      <c r="Q281" s="79"/>
      <c r="R281" s="79"/>
    </row>
    <row r="282">
      <c r="A282" s="1"/>
      <c r="B282" s="78"/>
      <c r="C282" s="78"/>
      <c r="D282" s="78"/>
      <c r="E282" s="78"/>
      <c r="M282" s="79"/>
      <c r="N282" s="79"/>
      <c r="O282" s="79"/>
      <c r="P282" s="79"/>
      <c r="Q282" s="79"/>
      <c r="R282" s="79"/>
    </row>
    <row r="283">
      <c r="A283" s="1"/>
      <c r="B283" s="78"/>
      <c r="C283" s="78"/>
      <c r="D283" s="78"/>
      <c r="E283" s="78"/>
      <c r="M283" s="79"/>
      <c r="N283" s="79"/>
      <c r="O283" s="79"/>
      <c r="P283" s="79"/>
      <c r="Q283" s="79"/>
      <c r="R283" s="79"/>
    </row>
    <row r="284">
      <c r="A284" s="1"/>
      <c r="B284" s="78"/>
      <c r="C284" s="78"/>
      <c r="D284" s="78"/>
      <c r="E284" s="78"/>
      <c r="M284" s="79"/>
      <c r="N284" s="79"/>
      <c r="O284" s="79"/>
      <c r="P284" s="79"/>
      <c r="Q284" s="79"/>
      <c r="R284" s="79"/>
    </row>
    <row r="285">
      <c r="A285" s="1"/>
      <c r="B285" s="78"/>
      <c r="C285" s="78"/>
      <c r="D285" s="78"/>
      <c r="E285" s="78"/>
      <c r="M285" s="79"/>
      <c r="N285" s="79"/>
      <c r="O285" s="79"/>
      <c r="P285" s="79"/>
      <c r="Q285" s="79"/>
      <c r="R285" s="79"/>
    </row>
    <row r="286">
      <c r="A286" s="1"/>
      <c r="B286" s="78"/>
      <c r="C286" s="78"/>
      <c r="D286" s="78"/>
      <c r="E286" s="78"/>
      <c r="M286" s="79"/>
      <c r="N286" s="79"/>
      <c r="O286" s="79"/>
      <c r="P286" s="79"/>
      <c r="Q286" s="79"/>
      <c r="R286" s="79"/>
    </row>
    <row r="287">
      <c r="A287" s="1"/>
      <c r="B287" s="78"/>
      <c r="C287" s="78"/>
      <c r="D287" s="78"/>
      <c r="E287" s="78"/>
      <c r="M287" s="79"/>
      <c r="N287" s="79"/>
      <c r="O287" s="79"/>
      <c r="P287" s="79"/>
      <c r="Q287" s="79"/>
      <c r="R287" s="79"/>
    </row>
    <row r="288">
      <c r="A288" s="1"/>
      <c r="B288" s="78"/>
      <c r="C288" s="78"/>
      <c r="D288" s="78"/>
      <c r="E288" s="78"/>
      <c r="M288" s="79"/>
      <c r="N288" s="79"/>
      <c r="O288" s="79"/>
      <c r="P288" s="79"/>
      <c r="Q288" s="79"/>
      <c r="R288" s="79"/>
    </row>
    <row r="289">
      <c r="A289" s="1"/>
      <c r="B289" s="78"/>
      <c r="C289" s="78"/>
      <c r="D289" s="78"/>
      <c r="E289" s="78"/>
      <c r="M289" s="79"/>
      <c r="N289" s="79"/>
      <c r="O289" s="79"/>
      <c r="P289" s="79"/>
      <c r="Q289" s="79"/>
      <c r="R289" s="79"/>
    </row>
    <row r="290">
      <c r="A290" s="1"/>
      <c r="B290" s="78"/>
      <c r="C290" s="78"/>
      <c r="D290" s="78"/>
      <c r="E290" s="78"/>
      <c r="M290" s="79"/>
      <c r="N290" s="79"/>
      <c r="O290" s="79"/>
      <c r="P290" s="79"/>
      <c r="Q290" s="79"/>
      <c r="R290" s="79"/>
    </row>
    <row r="291">
      <c r="A291" s="1"/>
      <c r="B291" s="78"/>
      <c r="C291" s="78"/>
      <c r="D291" s="78"/>
      <c r="E291" s="78"/>
      <c r="M291" s="79"/>
      <c r="N291" s="79"/>
      <c r="O291" s="79"/>
      <c r="P291" s="79"/>
      <c r="Q291" s="79"/>
      <c r="R291" s="79"/>
    </row>
    <row r="292">
      <c r="A292" s="1"/>
      <c r="B292" s="78"/>
      <c r="C292" s="78"/>
      <c r="D292" s="78"/>
      <c r="E292" s="78"/>
      <c r="M292" s="79"/>
      <c r="N292" s="79"/>
      <c r="O292" s="79"/>
      <c r="P292" s="79"/>
      <c r="Q292" s="79"/>
      <c r="R292" s="79"/>
    </row>
    <row r="293">
      <c r="A293" s="1"/>
      <c r="B293" s="78"/>
      <c r="C293" s="78"/>
      <c r="D293" s="78"/>
      <c r="E293" s="78"/>
      <c r="M293" s="79"/>
      <c r="N293" s="79"/>
      <c r="O293" s="79"/>
      <c r="P293" s="79"/>
      <c r="Q293" s="79"/>
      <c r="R293" s="79"/>
    </row>
    <row r="294">
      <c r="A294" s="1"/>
      <c r="B294" s="78"/>
      <c r="C294" s="78"/>
      <c r="D294" s="78"/>
      <c r="E294" s="78"/>
      <c r="M294" s="79"/>
      <c r="N294" s="79"/>
      <c r="O294" s="79"/>
      <c r="P294" s="79"/>
      <c r="Q294" s="79"/>
      <c r="R294" s="79"/>
    </row>
    <row r="295">
      <c r="A295" s="1"/>
      <c r="B295" s="78"/>
      <c r="C295" s="78"/>
      <c r="D295" s="78"/>
      <c r="E295" s="78"/>
      <c r="M295" s="79"/>
      <c r="N295" s="79"/>
      <c r="O295" s="79"/>
      <c r="P295" s="79"/>
      <c r="Q295" s="79"/>
      <c r="R295" s="79"/>
    </row>
    <row r="296">
      <c r="A296" s="1"/>
      <c r="B296" s="78"/>
      <c r="C296" s="78"/>
      <c r="D296" s="78"/>
      <c r="E296" s="78"/>
      <c r="M296" s="79"/>
      <c r="N296" s="79"/>
      <c r="O296" s="79"/>
      <c r="P296" s="79"/>
      <c r="Q296" s="79"/>
      <c r="R296" s="79"/>
    </row>
    <row r="297">
      <c r="A297" s="1"/>
      <c r="B297" s="78"/>
      <c r="C297" s="78"/>
      <c r="D297" s="78"/>
      <c r="E297" s="78"/>
      <c r="M297" s="79"/>
      <c r="N297" s="79"/>
      <c r="O297" s="79"/>
      <c r="P297" s="79"/>
      <c r="Q297" s="79"/>
      <c r="R297" s="79"/>
    </row>
    <row r="298">
      <c r="A298" s="1"/>
      <c r="B298" s="78"/>
      <c r="C298" s="78"/>
      <c r="D298" s="78"/>
      <c r="E298" s="78"/>
      <c r="M298" s="79"/>
      <c r="N298" s="79"/>
      <c r="O298" s="79"/>
      <c r="P298" s="79"/>
      <c r="Q298" s="79"/>
      <c r="R298" s="79"/>
    </row>
    <row r="299">
      <c r="A299" s="1"/>
      <c r="B299" s="78"/>
      <c r="C299" s="78"/>
      <c r="D299" s="78"/>
      <c r="E299" s="78"/>
      <c r="M299" s="79"/>
      <c r="N299" s="79"/>
      <c r="O299" s="79"/>
      <c r="P299" s="79"/>
      <c r="Q299" s="79"/>
      <c r="R299" s="79"/>
    </row>
    <row r="300">
      <c r="A300" s="1"/>
      <c r="B300" s="78"/>
      <c r="C300" s="78"/>
      <c r="D300" s="78"/>
      <c r="E300" s="78"/>
      <c r="M300" s="79"/>
      <c r="N300" s="79"/>
      <c r="O300" s="79"/>
      <c r="P300" s="79"/>
      <c r="Q300" s="79"/>
      <c r="R300" s="79"/>
    </row>
    <row r="301">
      <c r="A301" s="1"/>
      <c r="B301" s="78"/>
      <c r="C301" s="78"/>
      <c r="D301" s="78"/>
      <c r="E301" s="78"/>
      <c r="M301" s="79"/>
      <c r="N301" s="79"/>
      <c r="O301" s="79"/>
      <c r="P301" s="79"/>
      <c r="Q301" s="79"/>
      <c r="R301" s="79"/>
    </row>
    <row r="302">
      <c r="A302" s="1"/>
      <c r="B302" s="78"/>
      <c r="C302" s="78"/>
      <c r="D302" s="78"/>
      <c r="E302" s="78"/>
      <c r="M302" s="79"/>
      <c r="N302" s="79"/>
      <c r="O302" s="79"/>
      <c r="P302" s="79"/>
      <c r="Q302" s="79"/>
      <c r="R302" s="79"/>
    </row>
    <row r="303">
      <c r="A303" s="1"/>
      <c r="B303" s="78"/>
      <c r="C303" s="78"/>
      <c r="D303" s="78"/>
      <c r="E303" s="78"/>
      <c r="M303" s="79"/>
      <c r="N303" s="79"/>
      <c r="O303" s="79"/>
      <c r="P303" s="79"/>
      <c r="Q303" s="79"/>
      <c r="R303" s="79"/>
    </row>
    <row r="304">
      <c r="A304" s="1"/>
      <c r="B304" s="78"/>
      <c r="C304" s="78"/>
      <c r="D304" s="78"/>
      <c r="E304" s="78"/>
      <c r="M304" s="79"/>
      <c r="N304" s="79"/>
      <c r="O304" s="79"/>
      <c r="P304" s="79"/>
      <c r="Q304" s="79"/>
      <c r="R304" s="79"/>
    </row>
    <row r="305">
      <c r="A305" s="1"/>
      <c r="B305" s="78"/>
      <c r="C305" s="78"/>
      <c r="D305" s="78"/>
      <c r="E305" s="78"/>
      <c r="M305" s="79"/>
      <c r="N305" s="79"/>
      <c r="O305" s="79"/>
      <c r="P305" s="79"/>
      <c r="Q305" s="79"/>
      <c r="R305" s="79"/>
    </row>
    <row r="306">
      <c r="A306" s="1"/>
      <c r="B306" s="78"/>
      <c r="C306" s="78"/>
      <c r="D306" s="78"/>
      <c r="E306" s="78"/>
      <c r="M306" s="79"/>
      <c r="N306" s="79"/>
      <c r="O306" s="79"/>
      <c r="P306" s="79"/>
      <c r="Q306" s="79"/>
      <c r="R306" s="79"/>
    </row>
    <row r="307">
      <c r="A307" s="1"/>
      <c r="B307" s="78"/>
      <c r="C307" s="78"/>
      <c r="D307" s="78"/>
      <c r="E307" s="78"/>
      <c r="M307" s="79"/>
      <c r="N307" s="79"/>
      <c r="O307" s="79"/>
      <c r="P307" s="79"/>
      <c r="Q307" s="79"/>
      <c r="R307" s="79"/>
    </row>
    <row r="308">
      <c r="A308" s="1"/>
      <c r="B308" s="78"/>
      <c r="C308" s="78"/>
      <c r="D308" s="78"/>
      <c r="E308" s="78"/>
      <c r="M308" s="79"/>
      <c r="N308" s="79"/>
      <c r="O308" s="79"/>
      <c r="P308" s="79"/>
      <c r="Q308" s="79"/>
      <c r="R308" s="79"/>
    </row>
    <row r="309">
      <c r="A309" s="1"/>
      <c r="B309" s="78"/>
      <c r="C309" s="78"/>
      <c r="D309" s="78"/>
      <c r="E309" s="78"/>
      <c r="M309" s="79"/>
      <c r="N309" s="79"/>
      <c r="O309" s="79"/>
      <c r="P309" s="79"/>
      <c r="Q309" s="79"/>
      <c r="R309" s="79"/>
    </row>
    <row r="310">
      <c r="A310" s="1"/>
      <c r="B310" s="78"/>
      <c r="C310" s="78"/>
      <c r="D310" s="78"/>
      <c r="E310" s="78"/>
      <c r="M310" s="79"/>
      <c r="N310" s="79"/>
      <c r="O310" s="79"/>
      <c r="P310" s="79"/>
      <c r="Q310" s="79"/>
      <c r="R310" s="79"/>
    </row>
    <row r="311">
      <c r="A311" s="1"/>
      <c r="B311" s="78"/>
      <c r="C311" s="78"/>
      <c r="D311" s="78"/>
      <c r="E311" s="78"/>
      <c r="M311" s="79"/>
      <c r="N311" s="79"/>
      <c r="O311" s="79"/>
      <c r="P311" s="79"/>
      <c r="Q311" s="79"/>
      <c r="R311" s="79"/>
    </row>
    <row r="312">
      <c r="A312" s="1"/>
      <c r="B312" s="78"/>
      <c r="C312" s="78"/>
      <c r="D312" s="78"/>
      <c r="E312" s="78"/>
      <c r="M312" s="79"/>
      <c r="N312" s="79"/>
      <c r="O312" s="79"/>
      <c r="P312" s="79"/>
      <c r="Q312" s="79"/>
      <c r="R312" s="79"/>
    </row>
    <row r="313">
      <c r="A313" s="1"/>
      <c r="B313" s="78"/>
      <c r="C313" s="78"/>
      <c r="D313" s="78"/>
      <c r="E313" s="78"/>
      <c r="M313" s="79"/>
      <c r="N313" s="79"/>
      <c r="O313" s="79"/>
      <c r="P313" s="79"/>
      <c r="Q313" s="79"/>
      <c r="R313" s="79"/>
    </row>
    <row r="314">
      <c r="A314" s="1"/>
      <c r="B314" s="78"/>
      <c r="C314" s="78"/>
      <c r="D314" s="78"/>
      <c r="E314" s="78"/>
      <c r="M314" s="79"/>
      <c r="N314" s="79"/>
      <c r="O314" s="79"/>
      <c r="P314" s="79"/>
      <c r="Q314" s="79"/>
      <c r="R314" s="79"/>
    </row>
    <row r="315">
      <c r="A315" s="1"/>
      <c r="B315" s="78"/>
      <c r="C315" s="78"/>
      <c r="D315" s="78"/>
      <c r="E315" s="78"/>
      <c r="M315" s="79"/>
      <c r="N315" s="79"/>
      <c r="O315" s="79"/>
      <c r="P315" s="79"/>
      <c r="Q315" s="79"/>
      <c r="R315" s="79"/>
    </row>
    <row r="316">
      <c r="A316" s="1"/>
      <c r="B316" s="78"/>
      <c r="C316" s="78"/>
      <c r="D316" s="78"/>
      <c r="E316" s="78"/>
      <c r="M316" s="79"/>
      <c r="N316" s="79"/>
      <c r="O316" s="79"/>
      <c r="P316" s="79"/>
      <c r="Q316" s="79"/>
      <c r="R316" s="79"/>
    </row>
    <row r="317">
      <c r="A317" s="1"/>
      <c r="B317" s="78"/>
      <c r="C317" s="78"/>
      <c r="D317" s="78"/>
      <c r="E317" s="78"/>
      <c r="M317" s="79"/>
      <c r="N317" s="79"/>
      <c r="O317" s="79"/>
      <c r="P317" s="79"/>
      <c r="Q317" s="79"/>
      <c r="R317" s="79"/>
    </row>
    <row r="318">
      <c r="A318" s="1"/>
      <c r="B318" s="78"/>
      <c r="C318" s="78"/>
      <c r="D318" s="78"/>
      <c r="E318" s="78"/>
      <c r="M318" s="79"/>
      <c r="N318" s="79"/>
      <c r="O318" s="79"/>
      <c r="P318" s="79"/>
      <c r="Q318" s="79"/>
      <c r="R318" s="79"/>
    </row>
    <row r="319">
      <c r="A319" s="1"/>
      <c r="B319" s="78"/>
      <c r="C319" s="78"/>
      <c r="D319" s="78"/>
      <c r="E319" s="78"/>
      <c r="M319" s="79"/>
      <c r="N319" s="79"/>
      <c r="O319" s="79"/>
      <c r="P319" s="79"/>
      <c r="Q319" s="79"/>
      <c r="R319" s="79"/>
    </row>
    <row r="320">
      <c r="A320" s="1"/>
      <c r="B320" s="78"/>
      <c r="C320" s="78"/>
      <c r="D320" s="78"/>
      <c r="E320" s="78"/>
      <c r="M320" s="79"/>
      <c r="N320" s="79"/>
      <c r="O320" s="79"/>
      <c r="P320" s="79"/>
      <c r="Q320" s="79"/>
      <c r="R320" s="79"/>
    </row>
    <row r="321">
      <c r="A321" s="1"/>
      <c r="B321" s="78"/>
      <c r="C321" s="78"/>
      <c r="D321" s="78"/>
      <c r="E321" s="78"/>
      <c r="M321" s="79"/>
      <c r="N321" s="79"/>
      <c r="O321" s="79"/>
      <c r="P321" s="79"/>
      <c r="Q321" s="79"/>
      <c r="R321" s="79"/>
    </row>
    <row r="322">
      <c r="A322" s="1"/>
      <c r="B322" s="78"/>
      <c r="C322" s="78"/>
      <c r="D322" s="78"/>
      <c r="E322" s="78"/>
      <c r="M322" s="79"/>
      <c r="N322" s="79"/>
      <c r="O322" s="79"/>
      <c r="P322" s="79"/>
      <c r="Q322" s="79"/>
      <c r="R322" s="79"/>
    </row>
    <row r="323">
      <c r="A323" s="1"/>
      <c r="B323" s="78"/>
      <c r="C323" s="78"/>
      <c r="D323" s="78"/>
      <c r="E323" s="78"/>
      <c r="M323" s="79"/>
      <c r="N323" s="79"/>
      <c r="O323" s="79"/>
      <c r="P323" s="79"/>
      <c r="Q323" s="79"/>
      <c r="R323" s="79"/>
    </row>
    <row r="324">
      <c r="A324" s="1"/>
      <c r="B324" s="78"/>
      <c r="C324" s="78"/>
      <c r="D324" s="78"/>
      <c r="E324" s="78"/>
      <c r="M324" s="79"/>
      <c r="N324" s="79"/>
      <c r="O324" s="79"/>
      <c r="P324" s="79"/>
      <c r="Q324" s="79"/>
      <c r="R324" s="79"/>
    </row>
    <row r="325">
      <c r="A325" s="1"/>
      <c r="B325" s="78"/>
      <c r="C325" s="78"/>
      <c r="D325" s="78"/>
      <c r="E325" s="78"/>
      <c r="M325" s="79"/>
      <c r="N325" s="79"/>
      <c r="O325" s="79"/>
      <c r="P325" s="79"/>
      <c r="Q325" s="79"/>
      <c r="R325" s="79"/>
    </row>
    <row r="326">
      <c r="A326" s="1"/>
      <c r="B326" s="78"/>
      <c r="C326" s="78"/>
      <c r="D326" s="78"/>
      <c r="E326" s="78"/>
      <c r="M326" s="79"/>
      <c r="N326" s="79"/>
      <c r="O326" s="79"/>
      <c r="P326" s="79"/>
      <c r="Q326" s="79"/>
      <c r="R326" s="79"/>
    </row>
    <row r="327">
      <c r="A327" s="1"/>
      <c r="B327" s="78"/>
      <c r="C327" s="78"/>
      <c r="D327" s="78"/>
      <c r="E327" s="78"/>
      <c r="M327" s="79"/>
      <c r="N327" s="79"/>
      <c r="O327" s="79"/>
      <c r="P327" s="79"/>
      <c r="Q327" s="79"/>
      <c r="R327" s="79"/>
    </row>
    <row r="328">
      <c r="A328" s="1"/>
      <c r="B328" s="78"/>
      <c r="C328" s="78"/>
      <c r="D328" s="78"/>
      <c r="E328" s="78"/>
      <c r="M328" s="79"/>
      <c r="N328" s="79"/>
      <c r="O328" s="79"/>
      <c r="P328" s="79"/>
      <c r="Q328" s="79"/>
      <c r="R328" s="79"/>
    </row>
    <row r="329">
      <c r="A329" s="1"/>
      <c r="B329" s="78"/>
      <c r="C329" s="78"/>
      <c r="D329" s="78"/>
      <c r="E329" s="78"/>
      <c r="M329" s="79"/>
      <c r="N329" s="79"/>
      <c r="O329" s="79"/>
      <c r="P329" s="79"/>
      <c r="Q329" s="79"/>
      <c r="R329" s="79"/>
    </row>
    <row r="330">
      <c r="A330" s="1"/>
      <c r="B330" s="78"/>
      <c r="C330" s="78"/>
      <c r="D330" s="78"/>
      <c r="E330" s="78"/>
      <c r="M330" s="79"/>
      <c r="N330" s="79"/>
      <c r="O330" s="79"/>
      <c r="P330" s="79"/>
      <c r="Q330" s="79"/>
      <c r="R330" s="79"/>
    </row>
    <row r="331">
      <c r="A331" s="1"/>
      <c r="B331" s="78"/>
      <c r="C331" s="78"/>
      <c r="D331" s="78"/>
      <c r="E331" s="78"/>
      <c r="M331" s="79"/>
      <c r="N331" s="79"/>
      <c r="O331" s="79"/>
      <c r="P331" s="79"/>
      <c r="Q331" s="79"/>
      <c r="R331" s="79"/>
    </row>
    <row r="332">
      <c r="A332" s="1"/>
      <c r="B332" s="78"/>
      <c r="C332" s="78"/>
      <c r="D332" s="78"/>
      <c r="E332" s="78"/>
      <c r="M332" s="79"/>
      <c r="N332" s="79"/>
      <c r="O332" s="79"/>
      <c r="P332" s="79"/>
      <c r="Q332" s="79"/>
      <c r="R332" s="79"/>
    </row>
    <row r="333">
      <c r="A333" s="1"/>
      <c r="B333" s="78"/>
      <c r="C333" s="78"/>
      <c r="D333" s="78"/>
      <c r="E333" s="78"/>
      <c r="M333" s="79"/>
      <c r="N333" s="79"/>
      <c r="O333" s="79"/>
      <c r="P333" s="79"/>
      <c r="Q333" s="79"/>
      <c r="R333" s="79"/>
    </row>
    <row r="334">
      <c r="A334" s="1"/>
      <c r="B334" s="78"/>
      <c r="C334" s="78"/>
      <c r="D334" s="78"/>
      <c r="E334" s="78"/>
      <c r="M334" s="79"/>
      <c r="N334" s="79"/>
      <c r="O334" s="79"/>
      <c r="P334" s="79"/>
      <c r="Q334" s="79"/>
      <c r="R334" s="79"/>
    </row>
    <row r="335">
      <c r="A335" s="1"/>
      <c r="B335" s="78"/>
      <c r="C335" s="78"/>
      <c r="D335" s="78"/>
      <c r="E335" s="78"/>
      <c r="M335" s="79"/>
      <c r="N335" s="79"/>
      <c r="O335" s="79"/>
      <c r="P335" s="79"/>
      <c r="Q335" s="79"/>
      <c r="R335" s="79"/>
    </row>
    <row r="336">
      <c r="A336" s="1"/>
      <c r="B336" s="78"/>
      <c r="C336" s="78"/>
      <c r="D336" s="78"/>
      <c r="E336" s="78"/>
      <c r="M336" s="79"/>
      <c r="N336" s="79"/>
      <c r="O336" s="79"/>
      <c r="P336" s="79"/>
      <c r="Q336" s="79"/>
      <c r="R336" s="79"/>
    </row>
    <row r="337">
      <c r="A337" s="1"/>
      <c r="B337" s="78"/>
      <c r="C337" s="78"/>
      <c r="D337" s="78"/>
      <c r="E337" s="78"/>
      <c r="M337" s="79"/>
      <c r="N337" s="79"/>
      <c r="O337" s="79"/>
      <c r="P337" s="79"/>
      <c r="Q337" s="79"/>
      <c r="R337" s="79"/>
    </row>
    <row r="338">
      <c r="A338" s="1"/>
      <c r="B338" s="78"/>
      <c r="C338" s="78"/>
      <c r="D338" s="78"/>
      <c r="E338" s="78"/>
      <c r="M338" s="79"/>
      <c r="N338" s="79"/>
      <c r="O338" s="79"/>
      <c r="P338" s="79"/>
      <c r="Q338" s="79"/>
      <c r="R338" s="79"/>
    </row>
    <row r="339">
      <c r="A339" s="1"/>
      <c r="B339" s="78"/>
      <c r="C339" s="78"/>
      <c r="D339" s="78"/>
      <c r="E339" s="78"/>
      <c r="M339" s="79"/>
      <c r="N339" s="79"/>
      <c r="O339" s="79"/>
      <c r="P339" s="79"/>
      <c r="Q339" s="79"/>
      <c r="R339" s="79"/>
    </row>
    <row r="340">
      <c r="A340" s="1"/>
      <c r="B340" s="78"/>
      <c r="C340" s="78"/>
      <c r="D340" s="78"/>
      <c r="E340" s="78"/>
      <c r="M340" s="79"/>
      <c r="N340" s="79"/>
      <c r="O340" s="79"/>
      <c r="P340" s="79"/>
      <c r="Q340" s="79"/>
      <c r="R340" s="79"/>
    </row>
    <row r="341">
      <c r="A341" s="1"/>
      <c r="B341" s="78"/>
      <c r="C341" s="78"/>
      <c r="D341" s="78"/>
      <c r="E341" s="78"/>
      <c r="M341" s="79"/>
      <c r="N341" s="79"/>
      <c r="O341" s="79"/>
      <c r="P341" s="79"/>
      <c r="Q341" s="79"/>
      <c r="R341" s="79"/>
    </row>
    <row r="342">
      <c r="A342" s="1"/>
      <c r="B342" s="78"/>
      <c r="C342" s="78"/>
      <c r="D342" s="78"/>
      <c r="E342" s="78"/>
      <c r="M342" s="79"/>
      <c r="N342" s="79"/>
      <c r="O342" s="79"/>
      <c r="P342" s="79"/>
      <c r="Q342" s="79"/>
      <c r="R342" s="79"/>
    </row>
    <row r="343">
      <c r="A343" s="1"/>
      <c r="B343" s="78"/>
      <c r="C343" s="78"/>
      <c r="D343" s="78"/>
      <c r="E343" s="78"/>
      <c r="M343" s="79"/>
      <c r="N343" s="79"/>
      <c r="O343" s="79"/>
      <c r="P343" s="79"/>
      <c r="Q343" s="79"/>
      <c r="R343" s="79"/>
    </row>
    <row r="344">
      <c r="A344" s="1"/>
      <c r="B344" s="78"/>
      <c r="C344" s="78"/>
      <c r="D344" s="78"/>
      <c r="E344" s="78"/>
      <c r="M344" s="79"/>
      <c r="N344" s="79"/>
      <c r="O344" s="79"/>
      <c r="P344" s="79"/>
      <c r="Q344" s="79"/>
      <c r="R344" s="79"/>
    </row>
    <row r="345">
      <c r="A345" s="1"/>
      <c r="B345" s="78"/>
      <c r="C345" s="78"/>
      <c r="D345" s="78"/>
      <c r="E345" s="78"/>
      <c r="M345" s="79"/>
      <c r="N345" s="79"/>
      <c r="O345" s="79"/>
      <c r="P345" s="79"/>
      <c r="Q345" s="79"/>
      <c r="R345" s="79"/>
    </row>
    <row r="346">
      <c r="A346" s="1"/>
      <c r="B346" s="78"/>
      <c r="C346" s="78"/>
      <c r="D346" s="78"/>
      <c r="E346" s="78"/>
      <c r="M346" s="79"/>
      <c r="N346" s="79"/>
      <c r="O346" s="79"/>
      <c r="P346" s="79"/>
      <c r="Q346" s="79"/>
      <c r="R346" s="79"/>
    </row>
    <row r="347">
      <c r="A347" s="1"/>
      <c r="B347" s="78"/>
      <c r="C347" s="78"/>
      <c r="D347" s="78"/>
      <c r="E347" s="78"/>
      <c r="M347" s="79"/>
      <c r="N347" s="79"/>
      <c r="O347" s="79"/>
      <c r="P347" s="79"/>
      <c r="Q347" s="79"/>
      <c r="R347" s="79"/>
    </row>
    <row r="348">
      <c r="A348" s="1"/>
      <c r="B348" s="78"/>
      <c r="C348" s="78"/>
      <c r="D348" s="78"/>
      <c r="E348" s="78"/>
      <c r="M348" s="79"/>
      <c r="N348" s="79"/>
      <c r="O348" s="79"/>
      <c r="P348" s="79"/>
      <c r="Q348" s="79"/>
      <c r="R348" s="79"/>
    </row>
    <row r="349">
      <c r="A349" s="1"/>
      <c r="B349" s="78"/>
      <c r="C349" s="78"/>
      <c r="D349" s="78"/>
      <c r="E349" s="78"/>
      <c r="M349" s="79"/>
      <c r="N349" s="79"/>
      <c r="O349" s="79"/>
      <c r="P349" s="79"/>
      <c r="Q349" s="79"/>
      <c r="R349" s="79"/>
    </row>
    <row r="350">
      <c r="A350" s="1"/>
      <c r="B350" s="78"/>
      <c r="C350" s="78"/>
      <c r="D350" s="78"/>
      <c r="E350" s="78"/>
      <c r="M350" s="79"/>
      <c r="N350" s="79"/>
      <c r="O350" s="79"/>
      <c r="P350" s="79"/>
      <c r="Q350" s="79"/>
      <c r="R350" s="79"/>
    </row>
    <row r="351">
      <c r="A351" s="1"/>
      <c r="B351" s="78"/>
      <c r="C351" s="78"/>
      <c r="D351" s="78"/>
      <c r="E351" s="78"/>
      <c r="M351" s="79"/>
      <c r="N351" s="79"/>
      <c r="O351" s="79"/>
      <c r="P351" s="79"/>
      <c r="Q351" s="79"/>
      <c r="R351" s="79"/>
    </row>
    <row r="352">
      <c r="A352" s="1"/>
      <c r="B352" s="78"/>
      <c r="C352" s="78"/>
      <c r="D352" s="78"/>
      <c r="E352" s="78"/>
      <c r="M352" s="79"/>
      <c r="N352" s="79"/>
      <c r="O352" s="79"/>
      <c r="P352" s="79"/>
      <c r="Q352" s="79"/>
      <c r="R352" s="79"/>
    </row>
    <row r="353">
      <c r="A353" s="1"/>
      <c r="B353" s="78"/>
      <c r="C353" s="78"/>
      <c r="D353" s="78"/>
      <c r="E353" s="78"/>
      <c r="M353" s="79"/>
      <c r="N353" s="79"/>
      <c r="O353" s="79"/>
      <c r="P353" s="79"/>
      <c r="Q353" s="79"/>
      <c r="R353" s="79"/>
    </row>
    <row r="354">
      <c r="A354" s="1"/>
      <c r="B354" s="78"/>
      <c r="C354" s="78"/>
      <c r="D354" s="78"/>
      <c r="E354" s="78"/>
      <c r="M354" s="79"/>
      <c r="N354" s="79"/>
      <c r="O354" s="79"/>
      <c r="P354" s="79"/>
      <c r="Q354" s="79"/>
      <c r="R354" s="79"/>
    </row>
    <row r="355">
      <c r="A355" s="1"/>
      <c r="B355" s="78"/>
      <c r="C355" s="78"/>
      <c r="D355" s="78"/>
      <c r="E355" s="78"/>
      <c r="M355" s="79"/>
      <c r="N355" s="79"/>
      <c r="O355" s="79"/>
      <c r="P355" s="79"/>
      <c r="Q355" s="79"/>
      <c r="R355" s="79"/>
    </row>
    <row r="356">
      <c r="A356" s="1"/>
      <c r="B356" s="78"/>
      <c r="C356" s="78"/>
      <c r="D356" s="78"/>
      <c r="E356" s="78"/>
      <c r="M356" s="79"/>
      <c r="N356" s="79"/>
      <c r="O356" s="79"/>
      <c r="P356" s="79"/>
      <c r="Q356" s="79"/>
      <c r="R356" s="79"/>
    </row>
    <row r="357">
      <c r="A357" s="1"/>
      <c r="B357" s="78"/>
      <c r="C357" s="78"/>
      <c r="D357" s="78"/>
      <c r="E357" s="78"/>
      <c r="M357" s="79"/>
      <c r="N357" s="79"/>
      <c r="O357" s="79"/>
      <c r="P357" s="79"/>
      <c r="Q357" s="79"/>
      <c r="R357" s="79"/>
    </row>
    <row r="358">
      <c r="A358" s="1"/>
      <c r="B358" s="78"/>
      <c r="C358" s="78"/>
      <c r="D358" s="78"/>
      <c r="E358" s="78"/>
      <c r="M358" s="79"/>
      <c r="N358" s="79"/>
      <c r="O358" s="79"/>
      <c r="P358" s="79"/>
      <c r="Q358" s="79"/>
      <c r="R358" s="79"/>
    </row>
    <row r="359">
      <c r="A359" s="1"/>
      <c r="B359" s="78"/>
      <c r="C359" s="78"/>
      <c r="D359" s="78"/>
      <c r="E359" s="78"/>
      <c r="M359" s="79"/>
      <c r="N359" s="79"/>
      <c r="O359" s="79"/>
      <c r="P359" s="79"/>
      <c r="Q359" s="79"/>
      <c r="R359" s="79"/>
    </row>
    <row r="360">
      <c r="A360" s="1"/>
      <c r="B360" s="78"/>
      <c r="C360" s="78"/>
      <c r="D360" s="78"/>
      <c r="E360" s="78"/>
      <c r="M360" s="79"/>
      <c r="N360" s="79"/>
      <c r="O360" s="79"/>
      <c r="P360" s="79"/>
      <c r="Q360" s="79"/>
      <c r="R360" s="79"/>
    </row>
    <row r="361">
      <c r="A361" s="1"/>
      <c r="B361" s="78"/>
      <c r="C361" s="78"/>
      <c r="D361" s="78"/>
      <c r="E361" s="78"/>
      <c r="M361" s="79"/>
      <c r="N361" s="79"/>
      <c r="O361" s="79"/>
      <c r="P361" s="79"/>
      <c r="Q361" s="79"/>
      <c r="R361" s="79"/>
    </row>
    <row r="362">
      <c r="A362" s="1"/>
      <c r="B362" s="78"/>
      <c r="C362" s="78"/>
      <c r="D362" s="78"/>
      <c r="E362" s="78"/>
      <c r="M362" s="79"/>
      <c r="N362" s="79"/>
      <c r="O362" s="79"/>
      <c r="P362" s="79"/>
      <c r="Q362" s="79"/>
      <c r="R362" s="79"/>
    </row>
    <row r="363">
      <c r="A363" s="1"/>
      <c r="B363" s="78"/>
      <c r="C363" s="78"/>
      <c r="D363" s="78"/>
      <c r="E363" s="78"/>
      <c r="M363" s="79"/>
      <c r="N363" s="79"/>
      <c r="O363" s="79"/>
      <c r="P363" s="79"/>
      <c r="Q363" s="79"/>
      <c r="R363" s="79"/>
    </row>
    <row r="364">
      <c r="A364" s="1"/>
      <c r="B364" s="78"/>
      <c r="C364" s="78"/>
      <c r="D364" s="78"/>
      <c r="E364" s="78"/>
      <c r="M364" s="79"/>
      <c r="N364" s="79"/>
      <c r="O364" s="79"/>
      <c r="P364" s="79"/>
      <c r="Q364" s="79"/>
      <c r="R364" s="79"/>
    </row>
    <row r="365">
      <c r="A365" s="1"/>
      <c r="B365" s="78"/>
      <c r="C365" s="78"/>
      <c r="D365" s="78"/>
      <c r="E365" s="78"/>
      <c r="M365" s="79"/>
      <c r="N365" s="79"/>
      <c r="O365" s="79"/>
      <c r="P365" s="79"/>
      <c r="Q365" s="79"/>
      <c r="R365" s="79"/>
    </row>
    <row r="366">
      <c r="A366" s="1"/>
      <c r="B366" s="78"/>
      <c r="C366" s="78"/>
      <c r="D366" s="78"/>
      <c r="E366" s="78"/>
      <c r="M366" s="79"/>
      <c r="N366" s="79"/>
      <c r="O366" s="79"/>
      <c r="P366" s="79"/>
      <c r="Q366" s="79"/>
      <c r="R366" s="79"/>
    </row>
    <row r="367">
      <c r="A367" s="1"/>
      <c r="B367" s="78"/>
      <c r="C367" s="78"/>
      <c r="D367" s="78"/>
      <c r="E367" s="78"/>
      <c r="M367" s="79"/>
      <c r="N367" s="79"/>
      <c r="O367" s="79"/>
      <c r="P367" s="79"/>
      <c r="Q367" s="79"/>
      <c r="R367" s="79"/>
    </row>
    <row r="368">
      <c r="A368" s="1"/>
      <c r="B368" s="78"/>
      <c r="C368" s="78"/>
      <c r="D368" s="78"/>
      <c r="E368" s="78"/>
      <c r="M368" s="79"/>
      <c r="N368" s="79"/>
      <c r="O368" s="79"/>
      <c r="P368" s="79"/>
      <c r="Q368" s="79"/>
      <c r="R368" s="79"/>
    </row>
    <row r="369">
      <c r="A369" s="1"/>
      <c r="B369" s="78"/>
      <c r="C369" s="78"/>
      <c r="D369" s="78"/>
      <c r="E369" s="78"/>
      <c r="M369" s="79"/>
      <c r="N369" s="79"/>
      <c r="O369" s="79"/>
      <c r="P369" s="79"/>
      <c r="Q369" s="79"/>
      <c r="R369" s="79"/>
    </row>
    <row r="370">
      <c r="A370" s="1"/>
      <c r="B370" s="78"/>
      <c r="C370" s="78"/>
      <c r="D370" s="78"/>
      <c r="E370" s="78"/>
      <c r="M370" s="79"/>
      <c r="N370" s="79"/>
      <c r="O370" s="79"/>
      <c r="P370" s="79"/>
      <c r="Q370" s="79"/>
      <c r="R370" s="79"/>
    </row>
    <row r="371">
      <c r="A371" s="1"/>
      <c r="B371" s="78"/>
      <c r="C371" s="78"/>
      <c r="D371" s="78"/>
      <c r="E371" s="78"/>
      <c r="M371" s="79"/>
      <c r="N371" s="79"/>
      <c r="O371" s="79"/>
      <c r="P371" s="79"/>
      <c r="Q371" s="79"/>
      <c r="R371" s="79"/>
    </row>
    <row r="372">
      <c r="A372" s="1"/>
      <c r="B372" s="78"/>
      <c r="C372" s="78"/>
      <c r="D372" s="78"/>
      <c r="E372" s="78"/>
      <c r="M372" s="79"/>
      <c r="N372" s="79"/>
      <c r="O372" s="79"/>
      <c r="P372" s="79"/>
      <c r="Q372" s="79"/>
      <c r="R372" s="79"/>
    </row>
    <row r="373">
      <c r="A373" s="1"/>
      <c r="B373" s="78"/>
      <c r="C373" s="78"/>
      <c r="D373" s="78"/>
      <c r="E373" s="78"/>
      <c r="M373" s="79"/>
      <c r="N373" s="79"/>
      <c r="O373" s="79"/>
      <c r="P373" s="79"/>
      <c r="Q373" s="79"/>
      <c r="R373" s="79"/>
    </row>
    <row r="374">
      <c r="A374" s="1"/>
      <c r="B374" s="78"/>
      <c r="C374" s="78"/>
      <c r="D374" s="78"/>
      <c r="E374" s="78"/>
      <c r="M374" s="79"/>
      <c r="N374" s="79"/>
      <c r="O374" s="79"/>
      <c r="P374" s="79"/>
      <c r="Q374" s="79"/>
      <c r="R374" s="79"/>
    </row>
    <row r="375">
      <c r="A375" s="1"/>
      <c r="B375" s="78"/>
      <c r="C375" s="78"/>
      <c r="D375" s="78"/>
      <c r="E375" s="78"/>
      <c r="M375" s="79"/>
      <c r="N375" s="79"/>
      <c r="O375" s="79"/>
      <c r="P375" s="79"/>
      <c r="Q375" s="79"/>
      <c r="R375" s="79"/>
    </row>
    <row r="376">
      <c r="A376" s="1"/>
      <c r="B376" s="78"/>
      <c r="C376" s="78"/>
      <c r="D376" s="78"/>
      <c r="E376" s="78"/>
      <c r="M376" s="79"/>
      <c r="N376" s="79"/>
      <c r="O376" s="79"/>
      <c r="P376" s="79"/>
      <c r="Q376" s="79"/>
      <c r="R376" s="79"/>
    </row>
    <row r="377">
      <c r="A377" s="1"/>
      <c r="B377" s="78"/>
      <c r="C377" s="78"/>
      <c r="D377" s="78"/>
      <c r="E377" s="78"/>
      <c r="M377" s="79"/>
      <c r="N377" s="79"/>
      <c r="O377" s="79"/>
      <c r="P377" s="79"/>
      <c r="Q377" s="79"/>
      <c r="R377" s="79"/>
    </row>
    <row r="378">
      <c r="A378" s="1"/>
      <c r="B378" s="78"/>
      <c r="C378" s="78"/>
      <c r="D378" s="78"/>
      <c r="E378" s="78"/>
      <c r="M378" s="79"/>
      <c r="N378" s="79"/>
      <c r="O378" s="79"/>
      <c r="P378" s="79"/>
      <c r="Q378" s="79"/>
      <c r="R378" s="79"/>
    </row>
    <row r="379">
      <c r="A379" s="1"/>
      <c r="B379" s="78"/>
      <c r="C379" s="78"/>
      <c r="D379" s="78"/>
      <c r="E379" s="78"/>
      <c r="M379" s="79"/>
      <c r="N379" s="79"/>
      <c r="O379" s="79"/>
      <c r="P379" s="79"/>
      <c r="Q379" s="79"/>
      <c r="R379" s="79"/>
    </row>
    <row r="380">
      <c r="A380" s="1"/>
      <c r="B380" s="78"/>
      <c r="C380" s="78"/>
      <c r="D380" s="78"/>
      <c r="E380" s="78"/>
      <c r="M380" s="79"/>
      <c r="N380" s="79"/>
      <c r="O380" s="79"/>
      <c r="P380" s="79"/>
      <c r="Q380" s="79"/>
      <c r="R380" s="79"/>
    </row>
    <row r="381">
      <c r="A381" s="1"/>
      <c r="B381" s="78"/>
      <c r="C381" s="78"/>
      <c r="D381" s="78"/>
      <c r="E381" s="78"/>
      <c r="M381" s="79"/>
      <c r="N381" s="79"/>
      <c r="O381" s="79"/>
      <c r="P381" s="79"/>
      <c r="Q381" s="79"/>
      <c r="R381" s="79"/>
    </row>
    <row r="382">
      <c r="A382" s="1"/>
      <c r="B382" s="78"/>
      <c r="C382" s="78"/>
      <c r="D382" s="78"/>
      <c r="E382" s="78"/>
      <c r="M382" s="79"/>
      <c r="N382" s="79"/>
      <c r="O382" s="79"/>
      <c r="P382" s="79"/>
      <c r="Q382" s="79"/>
      <c r="R382" s="79"/>
    </row>
    <row r="383">
      <c r="A383" s="1"/>
      <c r="B383" s="78"/>
      <c r="C383" s="78"/>
      <c r="D383" s="78"/>
      <c r="E383" s="78"/>
      <c r="M383" s="79"/>
      <c r="N383" s="79"/>
      <c r="O383" s="79"/>
      <c r="P383" s="79"/>
      <c r="Q383" s="79"/>
      <c r="R383" s="79"/>
    </row>
    <row r="384">
      <c r="A384" s="1"/>
      <c r="B384" s="78"/>
      <c r="C384" s="78"/>
      <c r="D384" s="78"/>
      <c r="E384" s="78"/>
      <c r="M384" s="79"/>
      <c r="N384" s="79"/>
      <c r="O384" s="79"/>
      <c r="P384" s="79"/>
      <c r="Q384" s="79"/>
      <c r="R384" s="79"/>
    </row>
    <row r="385">
      <c r="A385" s="1"/>
      <c r="B385" s="78"/>
      <c r="C385" s="78"/>
      <c r="D385" s="78"/>
      <c r="E385" s="78"/>
      <c r="M385" s="79"/>
      <c r="N385" s="79"/>
      <c r="O385" s="79"/>
      <c r="P385" s="79"/>
      <c r="Q385" s="79"/>
      <c r="R385" s="79"/>
    </row>
    <row r="386">
      <c r="A386" s="1"/>
      <c r="B386" s="78"/>
      <c r="C386" s="78"/>
      <c r="D386" s="78"/>
      <c r="E386" s="78"/>
      <c r="M386" s="79"/>
      <c r="N386" s="79"/>
      <c r="O386" s="79"/>
      <c r="P386" s="79"/>
      <c r="Q386" s="79"/>
      <c r="R386" s="79"/>
    </row>
    <row r="387">
      <c r="A387" s="1"/>
      <c r="B387" s="78"/>
      <c r="C387" s="78"/>
      <c r="D387" s="78"/>
      <c r="E387" s="78"/>
      <c r="M387" s="79"/>
      <c r="N387" s="79"/>
      <c r="O387" s="79"/>
      <c r="P387" s="79"/>
      <c r="Q387" s="79"/>
      <c r="R387" s="79"/>
    </row>
    <row r="388">
      <c r="A388" s="1"/>
      <c r="B388" s="78"/>
      <c r="C388" s="78"/>
      <c r="D388" s="78"/>
      <c r="E388" s="78"/>
      <c r="M388" s="79"/>
      <c r="N388" s="79"/>
      <c r="O388" s="79"/>
      <c r="P388" s="79"/>
      <c r="Q388" s="79"/>
      <c r="R388" s="79"/>
    </row>
    <row r="389">
      <c r="A389" s="1"/>
      <c r="B389" s="78"/>
      <c r="C389" s="78"/>
      <c r="D389" s="78"/>
      <c r="E389" s="78"/>
      <c r="M389" s="79"/>
      <c r="N389" s="79"/>
      <c r="O389" s="79"/>
      <c r="P389" s="79"/>
      <c r="Q389" s="79"/>
      <c r="R389" s="79"/>
    </row>
    <row r="390">
      <c r="A390" s="1"/>
      <c r="B390" s="78"/>
      <c r="C390" s="78"/>
      <c r="D390" s="78"/>
      <c r="E390" s="78"/>
      <c r="M390" s="79"/>
      <c r="N390" s="79"/>
      <c r="O390" s="79"/>
      <c r="P390" s="79"/>
      <c r="Q390" s="79"/>
      <c r="R390" s="79"/>
    </row>
    <row r="391">
      <c r="A391" s="1"/>
      <c r="B391" s="78"/>
      <c r="C391" s="78"/>
      <c r="D391" s="78"/>
      <c r="E391" s="78"/>
      <c r="M391" s="79"/>
      <c r="N391" s="79"/>
      <c r="O391" s="79"/>
      <c r="P391" s="79"/>
      <c r="Q391" s="79"/>
      <c r="R391" s="79"/>
    </row>
    <row r="392">
      <c r="A392" s="1"/>
      <c r="B392" s="78"/>
      <c r="C392" s="78"/>
      <c r="D392" s="78"/>
      <c r="E392" s="78"/>
      <c r="M392" s="79"/>
      <c r="N392" s="79"/>
      <c r="O392" s="79"/>
      <c r="P392" s="79"/>
      <c r="Q392" s="79"/>
      <c r="R392" s="79"/>
    </row>
    <row r="393">
      <c r="A393" s="1"/>
      <c r="B393" s="78"/>
      <c r="C393" s="78"/>
      <c r="D393" s="78"/>
      <c r="E393" s="78"/>
      <c r="M393" s="79"/>
      <c r="N393" s="79"/>
      <c r="O393" s="79"/>
      <c r="P393" s="79"/>
      <c r="Q393" s="79"/>
      <c r="R393" s="79"/>
    </row>
    <row r="394">
      <c r="A394" s="1"/>
      <c r="B394" s="78"/>
      <c r="C394" s="78"/>
      <c r="D394" s="78"/>
      <c r="E394" s="78"/>
      <c r="M394" s="79"/>
      <c r="N394" s="79"/>
      <c r="O394" s="79"/>
      <c r="P394" s="79"/>
      <c r="Q394" s="79"/>
      <c r="R394" s="79"/>
    </row>
    <row r="395">
      <c r="A395" s="1"/>
      <c r="B395" s="78"/>
      <c r="C395" s="78"/>
      <c r="D395" s="78"/>
      <c r="E395" s="78"/>
      <c r="M395" s="79"/>
      <c r="N395" s="79"/>
      <c r="O395" s="79"/>
      <c r="P395" s="79"/>
      <c r="Q395" s="79"/>
      <c r="R395" s="79"/>
    </row>
    <row r="396">
      <c r="A396" s="1"/>
      <c r="B396" s="78"/>
      <c r="C396" s="78"/>
      <c r="D396" s="78"/>
      <c r="E396" s="78"/>
      <c r="M396" s="79"/>
      <c r="N396" s="79"/>
      <c r="O396" s="79"/>
      <c r="P396" s="79"/>
      <c r="Q396" s="79"/>
      <c r="R396" s="79"/>
    </row>
    <row r="397">
      <c r="A397" s="1"/>
      <c r="B397" s="78"/>
      <c r="C397" s="78"/>
      <c r="D397" s="78"/>
      <c r="E397" s="78"/>
      <c r="M397" s="79"/>
      <c r="N397" s="79"/>
      <c r="O397" s="79"/>
      <c r="P397" s="79"/>
      <c r="Q397" s="79"/>
      <c r="R397" s="79"/>
    </row>
    <row r="398">
      <c r="A398" s="1"/>
      <c r="B398" s="78"/>
      <c r="C398" s="78"/>
      <c r="D398" s="78"/>
      <c r="E398" s="78"/>
      <c r="M398" s="79"/>
      <c r="N398" s="79"/>
      <c r="O398" s="79"/>
      <c r="P398" s="79"/>
      <c r="Q398" s="79"/>
      <c r="R398" s="79"/>
    </row>
    <row r="399">
      <c r="A399" s="1"/>
      <c r="B399" s="78"/>
      <c r="C399" s="78"/>
      <c r="D399" s="78"/>
      <c r="E399" s="78"/>
      <c r="M399" s="79"/>
      <c r="N399" s="79"/>
      <c r="O399" s="79"/>
      <c r="P399" s="79"/>
      <c r="Q399" s="79"/>
      <c r="R399" s="79"/>
    </row>
    <row r="400">
      <c r="A400" s="1"/>
      <c r="B400" s="78"/>
      <c r="C400" s="78"/>
      <c r="D400" s="78"/>
      <c r="E400" s="78"/>
      <c r="M400" s="79"/>
      <c r="N400" s="79"/>
      <c r="O400" s="79"/>
      <c r="P400" s="79"/>
      <c r="Q400" s="79"/>
      <c r="R400" s="79"/>
    </row>
    <row r="401">
      <c r="A401" s="1"/>
      <c r="B401" s="78"/>
      <c r="C401" s="78"/>
      <c r="D401" s="78"/>
      <c r="E401" s="78"/>
      <c r="M401" s="79"/>
      <c r="N401" s="79"/>
      <c r="O401" s="79"/>
      <c r="P401" s="79"/>
      <c r="Q401" s="79"/>
      <c r="R401" s="79"/>
    </row>
    <row r="402">
      <c r="A402" s="1"/>
      <c r="B402" s="78"/>
      <c r="C402" s="78"/>
      <c r="D402" s="78"/>
      <c r="E402" s="78"/>
      <c r="M402" s="79"/>
      <c r="N402" s="79"/>
      <c r="O402" s="79"/>
      <c r="P402" s="79"/>
      <c r="Q402" s="79"/>
      <c r="R402" s="79"/>
    </row>
    <row r="403">
      <c r="A403" s="1"/>
      <c r="B403" s="78"/>
      <c r="C403" s="78"/>
      <c r="D403" s="78"/>
      <c r="E403" s="78"/>
      <c r="M403" s="79"/>
      <c r="N403" s="79"/>
      <c r="O403" s="79"/>
      <c r="P403" s="79"/>
      <c r="Q403" s="79"/>
      <c r="R403" s="79"/>
    </row>
    <row r="404">
      <c r="A404" s="1"/>
      <c r="B404" s="78"/>
      <c r="C404" s="78"/>
      <c r="D404" s="78"/>
      <c r="E404" s="78"/>
      <c r="M404" s="79"/>
      <c r="N404" s="79"/>
      <c r="O404" s="79"/>
      <c r="P404" s="79"/>
      <c r="Q404" s="79"/>
      <c r="R404" s="79"/>
    </row>
    <row r="405">
      <c r="A405" s="1"/>
      <c r="B405" s="78"/>
      <c r="C405" s="78"/>
      <c r="D405" s="78"/>
      <c r="E405" s="78"/>
      <c r="M405" s="79"/>
      <c r="N405" s="79"/>
      <c r="O405" s="79"/>
      <c r="P405" s="79"/>
      <c r="Q405" s="79"/>
      <c r="R405" s="79"/>
    </row>
    <row r="406">
      <c r="A406" s="1"/>
      <c r="B406" s="78"/>
      <c r="C406" s="78"/>
      <c r="D406" s="78"/>
      <c r="E406" s="78"/>
      <c r="M406" s="79"/>
      <c r="N406" s="79"/>
      <c r="O406" s="79"/>
      <c r="P406" s="79"/>
      <c r="Q406" s="79"/>
      <c r="R406" s="79"/>
    </row>
    <row r="407">
      <c r="A407" s="1"/>
      <c r="B407" s="78"/>
      <c r="C407" s="78"/>
      <c r="D407" s="78"/>
      <c r="E407" s="78"/>
      <c r="M407" s="79"/>
      <c r="N407" s="79"/>
      <c r="O407" s="79"/>
      <c r="P407" s="79"/>
      <c r="Q407" s="79"/>
      <c r="R407" s="79"/>
    </row>
    <row r="408">
      <c r="A408" s="1"/>
      <c r="B408" s="78"/>
      <c r="C408" s="78"/>
      <c r="D408" s="78"/>
      <c r="E408" s="78"/>
      <c r="M408" s="79"/>
      <c r="N408" s="79"/>
      <c r="O408" s="79"/>
      <c r="P408" s="79"/>
      <c r="Q408" s="79"/>
      <c r="R408" s="79"/>
    </row>
    <row r="409">
      <c r="A409" s="1"/>
      <c r="B409" s="78"/>
      <c r="C409" s="78"/>
      <c r="D409" s="78"/>
      <c r="E409" s="78"/>
      <c r="M409" s="79"/>
      <c r="N409" s="79"/>
      <c r="O409" s="79"/>
      <c r="P409" s="79"/>
      <c r="Q409" s="79"/>
      <c r="R409" s="79"/>
    </row>
    <row r="410">
      <c r="A410" s="1"/>
      <c r="B410" s="78"/>
      <c r="C410" s="78"/>
      <c r="D410" s="78"/>
      <c r="E410" s="78"/>
      <c r="M410" s="79"/>
      <c r="N410" s="79"/>
      <c r="O410" s="79"/>
      <c r="P410" s="79"/>
      <c r="Q410" s="79"/>
      <c r="R410" s="79"/>
    </row>
    <row r="411">
      <c r="A411" s="1"/>
      <c r="B411" s="78"/>
      <c r="C411" s="78"/>
      <c r="D411" s="78"/>
      <c r="E411" s="78"/>
      <c r="M411" s="79"/>
      <c r="N411" s="79"/>
      <c r="O411" s="79"/>
      <c r="P411" s="79"/>
      <c r="Q411" s="79"/>
      <c r="R411" s="79"/>
    </row>
    <row r="412">
      <c r="A412" s="1"/>
      <c r="B412" s="78"/>
      <c r="C412" s="78"/>
      <c r="D412" s="78"/>
      <c r="E412" s="78"/>
      <c r="M412" s="79"/>
      <c r="N412" s="79"/>
      <c r="O412" s="79"/>
      <c r="P412" s="79"/>
      <c r="Q412" s="79"/>
      <c r="R412" s="79"/>
    </row>
    <row r="413">
      <c r="A413" s="1"/>
      <c r="B413" s="78"/>
      <c r="C413" s="78"/>
      <c r="D413" s="78"/>
      <c r="E413" s="78"/>
      <c r="M413" s="79"/>
      <c r="N413" s="79"/>
      <c r="O413" s="79"/>
      <c r="P413" s="79"/>
      <c r="Q413" s="79"/>
      <c r="R413" s="79"/>
    </row>
    <row r="414">
      <c r="A414" s="1"/>
      <c r="B414" s="78"/>
      <c r="C414" s="78"/>
      <c r="D414" s="78"/>
      <c r="E414" s="78"/>
      <c r="M414" s="79"/>
      <c r="N414" s="79"/>
      <c r="O414" s="79"/>
      <c r="P414" s="79"/>
      <c r="Q414" s="79"/>
      <c r="R414" s="79"/>
    </row>
    <row r="415">
      <c r="A415" s="1"/>
      <c r="B415" s="78"/>
      <c r="C415" s="78"/>
      <c r="D415" s="78"/>
      <c r="E415" s="78"/>
      <c r="M415" s="79"/>
      <c r="N415" s="79"/>
      <c r="O415" s="79"/>
      <c r="P415" s="79"/>
      <c r="Q415" s="79"/>
      <c r="R415" s="79"/>
    </row>
    <row r="416">
      <c r="A416" s="1"/>
      <c r="B416" s="78"/>
      <c r="C416" s="78"/>
      <c r="D416" s="78"/>
      <c r="E416" s="78"/>
      <c r="M416" s="79"/>
      <c r="N416" s="79"/>
      <c r="O416" s="79"/>
      <c r="P416" s="79"/>
      <c r="Q416" s="79"/>
      <c r="R416" s="79"/>
    </row>
    <row r="417">
      <c r="A417" s="1"/>
      <c r="B417" s="78"/>
      <c r="C417" s="78"/>
      <c r="D417" s="78"/>
      <c r="E417" s="78"/>
      <c r="M417" s="79"/>
      <c r="N417" s="79"/>
      <c r="O417" s="79"/>
      <c r="P417" s="79"/>
      <c r="Q417" s="79"/>
      <c r="R417" s="79"/>
    </row>
    <row r="418">
      <c r="A418" s="1"/>
      <c r="B418" s="78"/>
      <c r="C418" s="78"/>
      <c r="D418" s="78"/>
      <c r="E418" s="78"/>
      <c r="M418" s="79"/>
      <c r="N418" s="79"/>
      <c r="O418" s="79"/>
      <c r="P418" s="79"/>
      <c r="Q418" s="79"/>
      <c r="R418" s="79"/>
    </row>
    <row r="419">
      <c r="A419" s="1"/>
      <c r="B419" s="78"/>
      <c r="C419" s="78"/>
      <c r="D419" s="78"/>
      <c r="E419" s="78"/>
      <c r="M419" s="79"/>
      <c r="N419" s="79"/>
      <c r="O419" s="79"/>
      <c r="P419" s="79"/>
      <c r="Q419" s="79"/>
      <c r="R419" s="79"/>
    </row>
    <row r="420">
      <c r="A420" s="1"/>
      <c r="B420" s="78"/>
      <c r="C420" s="78"/>
      <c r="D420" s="78"/>
      <c r="E420" s="78"/>
      <c r="M420" s="79"/>
      <c r="N420" s="79"/>
      <c r="O420" s="79"/>
      <c r="P420" s="79"/>
      <c r="Q420" s="79"/>
      <c r="R420" s="79"/>
    </row>
    <row r="421">
      <c r="A421" s="1"/>
      <c r="B421" s="78"/>
      <c r="C421" s="78"/>
      <c r="D421" s="78"/>
      <c r="E421" s="78"/>
      <c r="M421" s="79"/>
      <c r="N421" s="79"/>
      <c r="O421" s="79"/>
      <c r="P421" s="79"/>
      <c r="Q421" s="79"/>
      <c r="R421" s="79"/>
    </row>
    <row r="422">
      <c r="A422" s="1"/>
      <c r="B422" s="78"/>
      <c r="C422" s="78"/>
      <c r="D422" s="78"/>
      <c r="E422" s="78"/>
      <c r="M422" s="79"/>
      <c r="N422" s="79"/>
      <c r="O422" s="79"/>
      <c r="P422" s="79"/>
      <c r="Q422" s="79"/>
      <c r="R422" s="79"/>
    </row>
    <row r="423">
      <c r="A423" s="1"/>
      <c r="B423" s="78"/>
      <c r="C423" s="78"/>
      <c r="D423" s="78"/>
      <c r="E423" s="78"/>
      <c r="M423" s="79"/>
      <c r="N423" s="79"/>
      <c r="O423" s="79"/>
      <c r="P423" s="79"/>
      <c r="Q423" s="79"/>
      <c r="R423" s="79"/>
    </row>
    <row r="424">
      <c r="A424" s="1"/>
      <c r="B424" s="78"/>
      <c r="C424" s="78"/>
      <c r="D424" s="78"/>
      <c r="E424" s="78"/>
      <c r="M424" s="79"/>
      <c r="N424" s="79"/>
      <c r="O424" s="79"/>
      <c r="P424" s="79"/>
      <c r="Q424" s="79"/>
      <c r="R424" s="79"/>
    </row>
    <row r="425">
      <c r="A425" s="1"/>
      <c r="B425" s="78"/>
      <c r="C425" s="78"/>
      <c r="D425" s="78"/>
      <c r="E425" s="78"/>
      <c r="M425" s="79"/>
      <c r="N425" s="79"/>
      <c r="O425" s="79"/>
      <c r="P425" s="79"/>
      <c r="Q425" s="79"/>
      <c r="R425" s="79"/>
    </row>
    <row r="426">
      <c r="A426" s="1"/>
      <c r="B426" s="78"/>
      <c r="C426" s="78"/>
      <c r="D426" s="78"/>
      <c r="E426" s="78"/>
      <c r="M426" s="79"/>
      <c r="N426" s="79"/>
      <c r="O426" s="79"/>
      <c r="P426" s="79"/>
      <c r="Q426" s="79"/>
      <c r="R426" s="79"/>
    </row>
    <row r="427">
      <c r="A427" s="1"/>
      <c r="B427" s="78"/>
      <c r="C427" s="78"/>
      <c r="D427" s="78"/>
      <c r="E427" s="78"/>
      <c r="M427" s="79"/>
      <c r="N427" s="79"/>
      <c r="O427" s="79"/>
      <c r="P427" s="79"/>
      <c r="Q427" s="79"/>
      <c r="R427" s="79"/>
    </row>
    <row r="428">
      <c r="A428" s="1"/>
      <c r="B428" s="78"/>
      <c r="C428" s="78"/>
      <c r="D428" s="78"/>
      <c r="E428" s="78"/>
      <c r="M428" s="79"/>
      <c r="N428" s="79"/>
      <c r="O428" s="79"/>
      <c r="P428" s="79"/>
      <c r="Q428" s="79"/>
      <c r="R428" s="79"/>
    </row>
    <row r="429">
      <c r="A429" s="1"/>
      <c r="B429" s="78"/>
      <c r="C429" s="78"/>
      <c r="D429" s="78"/>
      <c r="E429" s="78"/>
      <c r="M429" s="79"/>
      <c r="N429" s="79"/>
      <c r="O429" s="79"/>
      <c r="P429" s="79"/>
      <c r="Q429" s="79"/>
      <c r="R429" s="79"/>
    </row>
    <row r="430">
      <c r="A430" s="1"/>
      <c r="B430" s="78"/>
      <c r="C430" s="78"/>
      <c r="D430" s="78"/>
      <c r="E430" s="78"/>
      <c r="M430" s="79"/>
      <c r="N430" s="79"/>
      <c r="O430" s="79"/>
      <c r="P430" s="79"/>
      <c r="Q430" s="79"/>
      <c r="R430" s="79"/>
    </row>
    <row r="431">
      <c r="A431" s="1"/>
      <c r="B431" s="78"/>
      <c r="C431" s="78"/>
      <c r="D431" s="78"/>
      <c r="E431" s="78"/>
      <c r="M431" s="79"/>
      <c r="N431" s="79"/>
      <c r="O431" s="79"/>
      <c r="P431" s="79"/>
      <c r="Q431" s="79"/>
      <c r="R431" s="79"/>
    </row>
    <row r="432">
      <c r="A432" s="1"/>
      <c r="B432" s="78"/>
      <c r="C432" s="78"/>
      <c r="D432" s="78"/>
      <c r="E432" s="78"/>
      <c r="M432" s="79"/>
      <c r="N432" s="79"/>
      <c r="O432" s="79"/>
      <c r="P432" s="79"/>
      <c r="Q432" s="79"/>
      <c r="R432" s="79"/>
    </row>
    <row r="433">
      <c r="A433" s="1"/>
      <c r="B433" s="78"/>
      <c r="C433" s="78"/>
      <c r="D433" s="78"/>
      <c r="E433" s="78"/>
      <c r="M433" s="79"/>
      <c r="N433" s="79"/>
      <c r="O433" s="79"/>
      <c r="P433" s="79"/>
      <c r="Q433" s="79"/>
      <c r="R433" s="79"/>
    </row>
    <row r="434">
      <c r="A434" s="1"/>
      <c r="B434" s="78"/>
      <c r="C434" s="78"/>
      <c r="D434" s="78"/>
      <c r="E434" s="78"/>
      <c r="M434" s="79"/>
      <c r="N434" s="79"/>
      <c r="O434" s="79"/>
      <c r="P434" s="79"/>
      <c r="Q434" s="79"/>
      <c r="R434" s="79"/>
    </row>
    <row r="435">
      <c r="A435" s="1"/>
      <c r="B435" s="78"/>
      <c r="C435" s="78"/>
      <c r="D435" s="78"/>
      <c r="E435" s="78"/>
      <c r="M435" s="79"/>
      <c r="N435" s="79"/>
      <c r="O435" s="79"/>
      <c r="P435" s="79"/>
      <c r="Q435" s="79"/>
      <c r="R435" s="79"/>
    </row>
    <row r="436">
      <c r="A436" s="1"/>
      <c r="B436" s="78"/>
      <c r="C436" s="78"/>
      <c r="D436" s="78"/>
      <c r="E436" s="78"/>
      <c r="M436" s="79"/>
      <c r="N436" s="79"/>
      <c r="O436" s="79"/>
      <c r="P436" s="79"/>
      <c r="Q436" s="79"/>
      <c r="R436" s="79"/>
    </row>
    <row r="437">
      <c r="A437" s="1"/>
      <c r="B437" s="78"/>
      <c r="C437" s="78"/>
      <c r="D437" s="78"/>
      <c r="E437" s="78"/>
      <c r="M437" s="79"/>
      <c r="N437" s="79"/>
      <c r="O437" s="79"/>
      <c r="P437" s="79"/>
      <c r="Q437" s="79"/>
      <c r="R437" s="79"/>
    </row>
    <row r="438">
      <c r="A438" s="1"/>
      <c r="B438" s="78"/>
      <c r="C438" s="78"/>
      <c r="D438" s="78"/>
      <c r="E438" s="78"/>
      <c r="M438" s="79"/>
      <c r="N438" s="79"/>
      <c r="O438" s="79"/>
      <c r="P438" s="79"/>
      <c r="Q438" s="79"/>
      <c r="R438" s="79"/>
    </row>
    <row r="439">
      <c r="A439" s="1"/>
      <c r="B439" s="78"/>
      <c r="C439" s="78"/>
      <c r="D439" s="78"/>
      <c r="E439" s="78"/>
      <c r="M439" s="79"/>
      <c r="N439" s="79"/>
      <c r="O439" s="79"/>
      <c r="P439" s="79"/>
      <c r="Q439" s="79"/>
      <c r="R439" s="79"/>
    </row>
    <row r="440">
      <c r="A440" s="1"/>
      <c r="B440" s="78"/>
      <c r="C440" s="78"/>
      <c r="D440" s="78"/>
      <c r="E440" s="78"/>
      <c r="M440" s="79"/>
      <c r="N440" s="79"/>
      <c r="O440" s="79"/>
      <c r="P440" s="79"/>
      <c r="Q440" s="79"/>
      <c r="R440" s="79"/>
    </row>
    <row r="441">
      <c r="A441" s="1"/>
      <c r="B441" s="78"/>
      <c r="C441" s="78"/>
      <c r="D441" s="78"/>
      <c r="E441" s="78"/>
      <c r="M441" s="79"/>
      <c r="N441" s="79"/>
      <c r="O441" s="79"/>
      <c r="P441" s="79"/>
      <c r="Q441" s="79"/>
      <c r="R441" s="79"/>
    </row>
    <row r="442">
      <c r="A442" s="1"/>
      <c r="B442" s="78"/>
      <c r="C442" s="78"/>
      <c r="D442" s="78"/>
      <c r="E442" s="78"/>
      <c r="M442" s="79"/>
      <c r="N442" s="79"/>
      <c r="O442" s="79"/>
      <c r="P442" s="79"/>
      <c r="Q442" s="79"/>
      <c r="R442" s="79"/>
    </row>
    <row r="443">
      <c r="A443" s="1"/>
      <c r="B443" s="78"/>
      <c r="C443" s="78"/>
      <c r="D443" s="78"/>
      <c r="E443" s="78"/>
      <c r="M443" s="79"/>
      <c r="N443" s="79"/>
      <c r="O443" s="79"/>
      <c r="P443" s="79"/>
      <c r="Q443" s="79"/>
      <c r="R443" s="79"/>
    </row>
    <row r="444">
      <c r="A444" s="1"/>
      <c r="B444" s="78"/>
      <c r="C444" s="78"/>
      <c r="D444" s="78"/>
      <c r="E444" s="78"/>
      <c r="M444" s="79"/>
      <c r="N444" s="79"/>
      <c r="O444" s="79"/>
      <c r="P444" s="79"/>
      <c r="Q444" s="79"/>
      <c r="R444" s="79"/>
    </row>
    <row r="445">
      <c r="A445" s="1"/>
      <c r="B445" s="78"/>
      <c r="C445" s="78"/>
      <c r="D445" s="78"/>
      <c r="E445" s="78"/>
      <c r="M445" s="79"/>
      <c r="N445" s="79"/>
      <c r="O445" s="79"/>
      <c r="P445" s="79"/>
      <c r="Q445" s="79"/>
      <c r="R445" s="79"/>
    </row>
    <row r="446">
      <c r="A446" s="1"/>
      <c r="B446" s="78"/>
      <c r="C446" s="78"/>
      <c r="D446" s="78"/>
      <c r="E446" s="78"/>
      <c r="M446" s="79"/>
      <c r="N446" s="79"/>
      <c r="O446" s="79"/>
      <c r="P446" s="79"/>
      <c r="Q446" s="79"/>
      <c r="R446" s="79"/>
    </row>
    <row r="447">
      <c r="A447" s="1"/>
      <c r="B447" s="78"/>
      <c r="C447" s="78"/>
      <c r="D447" s="78"/>
      <c r="E447" s="78"/>
      <c r="M447" s="79"/>
      <c r="N447" s="79"/>
      <c r="O447" s="79"/>
      <c r="P447" s="79"/>
      <c r="Q447" s="79"/>
      <c r="R447" s="79"/>
    </row>
    <row r="448">
      <c r="A448" s="1"/>
      <c r="B448" s="78"/>
      <c r="C448" s="78"/>
      <c r="D448" s="78"/>
      <c r="E448" s="78"/>
      <c r="M448" s="79"/>
      <c r="N448" s="79"/>
      <c r="O448" s="79"/>
      <c r="P448" s="79"/>
      <c r="Q448" s="79"/>
      <c r="R448" s="79"/>
    </row>
    <row r="449">
      <c r="A449" s="1"/>
      <c r="B449" s="78"/>
      <c r="C449" s="78"/>
      <c r="D449" s="78"/>
      <c r="E449" s="78"/>
      <c r="M449" s="79"/>
      <c r="N449" s="79"/>
      <c r="O449" s="79"/>
      <c r="P449" s="79"/>
      <c r="Q449" s="79"/>
      <c r="R449" s="79"/>
    </row>
    <row r="450">
      <c r="A450" s="1"/>
      <c r="B450" s="78"/>
      <c r="C450" s="78"/>
      <c r="D450" s="78"/>
      <c r="E450" s="78"/>
      <c r="M450" s="79"/>
      <c r="N450" s="79"/>
      <c r="O450" s="79"/>
      <c r="P450" s="79"/>
      <c r="Q450" s="79"/>
      <c r="R450" s="79"/>
    </row>
    <row r="451">
      <c r="A451" s="1"/>
      <c r="B451" s="78"/>
      <c r="C451" s="78"/>
      <c r="D451" s="78"/>
      <c r="E451" s="78"/>
      <c r="M451" s="79"/>
      <c r="N451" s="79"/>
      <c r="O451" s="79"/>
      <c r="P451" s="79"/>
      <c r="Q451" s="79"/>
      <c r="R451" s="79"/>
    </row>
    <row r="452">
      <c r="A452" s="1"/>
      <c r="B452" s="78"/>
      <c r="C452" s="78"/>
      <c r="D452" s="78"/>
      <c r="E452" s="78"/>
      <c r="M452" s="79"/>
      <c r="N452" s="79"/>
      <c r="O452" s="79"/>
      <c r="P452" s="79"/>
      <c r="Q452" s="79"/>
      <c r="R452" s="79"/>
    </row>
    <row r="453">
      <c r="A453" s="1"/>
      <c r="B453" s="78"/>
      <c r="C453" s="78"/>
      <c r="D453" s="78"/>
      <c r="E453" s="78"/>
      <c r="M453" s="79"/>
      <c r="N453" s="79"/>
      <c r="O453" s="79"/>
      <c r="P453" s="79"/>
      <c r="Q453" s="79"/>
      <c r="R453" s="79"/>
    </row>
    <row r="454">
      <c r="A454" s="1"/>
      <c r="B454" s="78"/>
      <c r="C454" s="78"/>
      <c r="D454" s="78"/>
      <c r="E454" s="78"/>
      <c r="M454" s="79"/>
      <c r="N454" s="79"/>
      <c r="O454" s="79"/>
      <c r="P454" s="79"/>
      <c r="Q454" s="79"/>
      <c r="R454" s="79"/>
    </row>
    <row r="455">
      <c r="A455" s="1"/>
      <c r="B455" s="78"/>
      <c r="C455" s="78"/>
      <c r="D455" s="78"/>
      <c r="E455" s="78"/>
      <c r="M455" s="79"/>
      <c r="N455" s="79"/>
      <c r="O455" s="79"/>
      <c r="P455" s="79"/>
      <c r="Q455" s="79"/>
      <c r="R455" s="79"/>
    </row>
    <row r="456">
      <c r="A456" s="1"/>
      <c r="B456" s="78"/>
      <c r="C456" s="78"/>
      <c r="D456" s="78"/>
      <c r="E456" s="78"/>
      <c r="M456" s="79"/>
      <c r="N456" s="79"/>
      <c r="O456" s="79"/>
      <c r="P456" s="79"/>
      <c r="Q456" s="79"/>
      <c r="R456" s="79"/>
    </row>
    <row r="457">
      <c r="A457" s="1"/>
      <c r="B457" s="78"/>
      <c r="C457" s="78"/>
      <c r="D457" s="78"/>
      <c r="E457" s="78"/>
      <c r="M457" s="79"/>
      <c r="N457" s="79"/>
      <c r="O457" s="79"/>
      <c r="P457" s="79"/>
      <c r="Q457" s="79"/>
      <c r="R457" s="79"/>
    </row>
    <row r="458">
      <c r="A458" s="1"/>
      <c r="B458" s="78"/>
      <c r="C458" s="78"/>
      <c r="D458" s="78"/>
      <c r="E458" s="78"/>
      <c r="M458" s="79"/>
      <c r="N458" s="79"/>
      <c r="O458" s="79"/>
      <c r="P458" s="79"/>
      <c r="Q458" s="79"/>
      <c r="R458" s="79"/>
    </row>
    <row r="459">
      <c r="A459" s="1"/>
      <c r="B459" s="78"/>
      <c r="C459" s="78"/>
      <c r="D459" s="78"/>
      <c r="E459" s="78"/>
      <c r="M459" s="79"/>
      <c r="N459" s="79"/>
      <c r="O459" s="79"/>
      <c r="P459" s="79"/>
      <c r="Q459" s="79"/>
      <c r="R459" s="79"/>
    </row>
    <row r="460">
      <c r="A460" s="1"/>
      <c r="B460" s="78"/>
      <c r="C460" s="78"/>
      <c r="D460" s="78"/>
      <c r="E460" s="78"/>
      <c r="M460" s="79"/>
      <c r="N460" s="79"/>
      <c r="O460" s="79"/>
      <c r="P460" s="79"/>
      <c r="Q460" s="79"/>
      <c r="R460" s="79"/>
    </row>
    <row r="461">
      <c r="A461" s="1"/>
      <c r="B461" s="78"/>
      <c r="C461" s="78"/>
      <c r="D461" s="78"/>
      <c r="E461" s="78"/>
      <c r="M461" s="79"/>
      <c r="N461" s="79"/>
      <c r="O461" s="79"/>
      <c r="P461" s="79"/>
      <c r="Q461" s="79"/>
      <c r="R461" s="79"/>
    </row>
    <row r="462">
      <c r="A462" s="1"/>
      <c r="B462" s="78"/>
      <c r="C462" s="78"/>
      <c r="D462" s="78"/>
      <c r="E462" s="78"/>
      <c r="M462" s="79"/>
      <c r="N462" s="79"/>
      <c r="O462" s="79"/>
      <c r="P462" s="79"/>
      <c r="Q462" s="79"/>
      <c r="R462" s="79"/>
    </row>
    <row r="463">
      <c r="A463" s="1"/>
      <c r="B463" s="78"/>
      <c r="C463" s="78"/>
      <c r="D463" s="78"/>
      <c r="E463" s="78"/>
      <c r="M463" s="79"/>
      <c r="N463" s="79"/>
      <c r="O463" s="79"/>
      <c r="P463" s="79"/>
      <c r="Q463" s="79"/>
      <c r="R463" s="79"/>
    </row>
    <row r="464">
      <c r="A464" s="1"/>
      <c r="B464" s="78"/>
      <c r="C464" s="78"/>
      <c r="D464" s="78"/>
      <c r="E464" s="78"/>
      <c r="M464" s="79"/>
      <c r="N464" s="79"/>
      <c r="O464" s="79"/>
      <c r="P464" s="79"/>
      <c r="Q464" s="79"/>
      <c r="R464" s="79"/>
    </row>
    <row r="465">
      <c r="A465" s="1"/>
      <c r="B465" s="78"/>
      <c r="C465" s="78"/>
      <c r="D465" s="78"/>
      <c r="E465" s="78"/>
      <c r="M465" s="79"/>
      <c r="N465" s="79"/>
      <c r="O465" s="79"/>
      <c r="P465" s="79"/>
      <c r="Q465" s="79"/>
      <c r="R465" s="79"/>
    </row>
    <row r="466">
      <c r="A466" s="1"/>
      <c r="B466" s="78"/>
      <c r="C466" s="78"/>
      <c r="D466" s="78"/>
      <c r="E466" s="78"/>
      <c r="M466" s="79"/>
      <c r="N466" s="79"/>
      <c r="O466" s="79"/>
      <c r="P466" s="79"/>
      <c r="Q466" s="79"/>
      <c r="R466" s="79"/>
    </row>
    <row r="467">
      <c r="A467" s="1"/>
      <c r="B467" s="78"/>
      <c r="C467" s="78"/>
      <c r="D467" s="78"/>
      <c r="E467" s="78"/>
      <c r="M467" s="79"/>
      <c r="N467" s="79"/>
      <c r="O467" s="79"/>
      <c r="P467" s="79"/>
      <c r="Q467" s="79"/>
      <c r="R467" s="79"/>
    </row>
    <row r="468">
      <c r="A468" s="1"/>
      <c r="B468" s="78"/>
      <c r="C468" s="78"/>
      <c r="D468" s="78"/>
      <c r="E468" s="78"/>
      <c r="M468" s="79"/>
      <c r="N468" s="79"/>
      <c r="O468" s="79"/>
      <c r="P468" s="79"/>
      <c r="Q468" s="79"/>
      <c r="R468" s="79"/>
    </row>
    <row r="469">
      <c r="A469" s="1"/>
      <c r="B469" s="78"/>
      <c r="C469" s="78"/>
      <c r="D469" s="78"/>
      <c r="E469" s="78"/>
      <c r="M469" s="79"/>
      <c r="N469" s="79"/>
      <c r="O469" s="79"/>
      <c r="P469" s="79"/>
      <c r="Q469" s="79"/>
      <c r="R469" s="79"/>
    </row>
    <row r="470">
      <c r="A470" s="1"/>
      <c r="B470" s="78"/>
      <c r="C470" s="78"/>
      <c r="D470" s="78"/>
      <c r="E470" s="78"/>
      <c r="M470" s="79"/>
      <c r="N470" s="79"/>
      <c r="O470" s="79"/>
      <c r="P470" s="79"/>
      <c r="Q470" s="79"/>
      <c r="R470" s="79"/>
    </row>
    <row r="471">
      <c r="A471" s="1"/>
      <c r="B471" s="78"/>
      <c r="C471" s="78"/>
      <c r="D471" s="78"/>
      <c r="E471" s="78"/>
      <c r="M471" s="79"/>
      <c r="N471" s="79"/>
      <c r="O471" s="79"/>
      <c r="P471" s="79"/>
      <c r="Q471" s="79"/>
      <c r="R471" s="79"/>
    </row>
    <row r="472">
      <c r="A472" s="1"/>
      <c r="B472" s="78"/>
      <c r="C472" s="78"/>
      <c r="D472" s="78"/>
      <c r="E472" s="78"/>
      <c r="M472" s="79"/>
      <c r="N472" s="79"/>
      <c r="O472" s="79"/>
      <c r="P472" s="79"/>
      <c r="Q472" s="79"/>
      <c r="R472" s="79"/>
    </row>
    <row r="473">
      <c r="A473" s="1"/>
      <c r="B473" s="78"/>
      <c r="C473" s="78"/>
      <c r="D473" s="78"/>
      <c r="E473" s="78"/>
      <c r="M473" s="79"/>
      <c r="N473" s="79"/>
      <c r="O473" s="79"/>
      <c r="P473" s="79"/>
      <c r="Q473" s="79"/>
      <c r="R473" s="79"/>
    </row>
    <row r="474">
      <c r="A474" s="1"/>
      <c r="B474" s="78"/>
      <c r="C474" s="78"/>
      <c r="D474" s="78"/>
      <c r="E474" s="78"/>
      <c r="M474" s="79"/>
      <c r="N474" s="79"/>
      <c r="O474" s="79"/>
      <c r="P474" s="79"/>
      <c r="Q474" s="79"/>
      <c r="R474" s="79"/>
    </row>
    <row r="475">
      <c r="A475" s="1"/>
      <c r="B475" s="78"/>
      <c r="C475" s="78"/>
      <c r="D475" s="78"/>
      <c r="E475" s="78"/>
      <c r="M475" s="79"/>
      <c r="N475" s="79"/>
      <c r="O475" s="79"/>
      <c r="P475" s="79"/>
      <c r="Q475" s="79"/>
      <c r="R475" s="79"/>
    </row>
    <row r="476">
      <c r="A476" s="1"/>
      <c r="B476" s="78"/>
      <c r="C476" s="78"/>
      <c r="D476" s="78"/>
      <c r="E476" s="78"/>
      <c r="M476" s="79"/>
      <c r="N476" s="79"/>
      <c r="O476" s="79"/>
      <c r="P476" s="79"/>
      <c r="Q476" s="79"/>
      <c r="R476" s="79"/>
    </row>
    <row r="477">
      <c r="A477" s="1"/>
      <c r="B477" s="78"/>
      <c r="C477" s="78"/>
      <c r="D477" s="78"/>
      <c r="E477" s="78"/>
      <c r="M477" s="79"/>
      <c r="N477" s="79"/>
      <c r="O477" s="79"/>
      <c r="P477" s="79"/>
      <c r="Q477" s="79"/>
      <c r="R477" s="79"/>
    </row>
    <row r="478">
      <c r="A478" s="1"/>
      <c r="B478" s="78"/>
      <c r="C478" s="78"/>
      <c r="D478" s="78"/>
      <c r="E478" s="78"/>
      <c r="M478" s="79"/>
      <c r="N478" s="79"/>
      <c r="O478" s="79"/>
      <c r="P478" s="79"/>
      <c r="Q478" s="79"/>
      <c r="R478" s="79"/>
    </row>
    <row r="479">
      <c r="A479" s="1"/>
      <c r="B479" s="78"/>
      <c r="C479" s="78"/>
      <c r="D479" s="78"/>
      <c r="E479" s="78"/>
      <c r="M479" s="79"/>
      <c r="N479" s="79"/>
      <c r="O479" s="79"/>
      <c r="P479" s="79"/>
      <c r="Q479" s="79"/>
      <c r="R479" s="79"/>
    </row>
    <row r="480">
      <c r="A480" s="1"/>
      <c r="B480" s="78"/>
      <c r="C480" s="78"/>
      <c r="D480" s="78"/>
      <c r="E480" s="78"/>
      <c r="M480" s="79"/>
      <c r="N480" s="79"/>
      <c r="O480" s="79"/>
      <c r="P480" s="79"/>
      <c r="Q480" s="79"/>
      <c r="R480" s="79"/>
    </row>
    <row r="481">
      <c r="A481" s="1"/>
      <c r="B481" s="78"/>
      <c r="C481" s="78"/>
      <c r="D481" s="78"/>
      <c r="E481" s="78"/>
      <c r="M481" s="79"/>
      <c r="N481" s="79"/>
      <c r="O481" s="79"/>
      <c r="P481" s="79"/>
      <c r="Q481" s="79"/>
      <c r="R481" s="79"/>
    </row>
    <row r="482">
      <c r="A482" s="1"/>
      <c r="B482" s="78"/>
      <c r="C482" s="78"/>
      <c r="D482" s="78"/>
      <c r="E482" s="78"/>
      <c r="M482" s="79"/>
      <c r="N482" s="79"/>
      <c r="O482" s="79"/>
      <c r="P482" s="79"/>
      <c r="Q482" s="79"/>
      <c r="R482" s="79"/>
    </row>
    <row r="483">
      <c r="A483" s="1"/>
      <c r="B483" s="78"/>
      <c r="C483" s="78"/>
      <c r="D483" s="78"/>
      <c r="E483" s="78"/>
      <c r="M483" s="79"/>
      <c r="N483" s="79"/>
      <c r="O483" s="79"/>
      <c r="P483" s="79"/>
      <c r="Q483" s="79"/>
      <c r="R483" s="79"/>
    </row>
    <row r="484">
      <c r="A484" s="1"/>
      <c r="B484" s="78"/>
      <c r="C484" s="78"/>
      <c r="D484" s="78"/>
      <c r="E484" s="78"/>
      <c r="M484" s="79"/>
      <c r="N484" s="79"/>
      <c r="O484" s="79"/>
      <c r="P484" s="79"/>
      <c r="Q484" s="79"/>
      <c r="R484" s="79"/>
    </row>
    <row r="485">
      <c r="A485" s="1"/>
      <c r="B485" s="78"/>
      <c r="C485" s="78"/>
      <c r="D485" s="78"/>
      <c r="E485" s="78"/>
      <c r="M485" s="79"/>
      <c r="N485" s="79"/>
      <c r="O485" s="79"/>
      <c r="P485" s="79"/>
      <c r="Q485" s="79"/>
      <c r="R485" s="79"/>
    </row>
    <row r="486">
      <c r="A486" s="1"/>
      <c r="B486" s="78"/>
      <c r="C486" s="78"/>
      <c r="D486" s="78"/>
      <c r="E486" s="78"/>
      <c r="M486" s="79"/>
      <c r="N486" s="79"/>
      <c r="O486" s="79"/>
      <c r="P486" s="79"/>
      <c r="Q486" s="79"/>
      <c r="R486" s="79"/>
    </row>
    <row r="487">
      <c r="A487" s="1"/>
      <c r="B487" s="78"/>
      <c r="C487" s="78"/>
      <c r="D487" s="78"/>
      <c r="E487" s="78"/>
      <c r="M487" s="79"/>
      <c r="N487" s="79"/>
      <c r="O487" s="79"/>
      <c r="P487" s="79"/>
      <c r="Q487" s="79"/>
      <c r="R487" s="79"/>
    </row>
    <row r="488">
      <c r="A488" s="1"/>
      <c r="B488" s="78"/>
      <c r="C488" s="78"/>
      <c r="D488" s="78"/>
      <c r="E488" s="78"/>
      <c r="M488" s="79"/>
      <c r="N488" s="79"/>
      <c r="O488" s="79"/>
      <c r="P488" s="79"/>
      <c r="Q488" s="79"/>
      <c r="R488" s="79"/>
    </row>
    <row r="489">
      <c r="A489" s="1"/>
      <c r="B489" s="78"/>
      <c r="C489" s="78"/>
      <c r="D489" s="78"/>
      <c r="E489" s="78"/>
      <c r="M489" s="79"/>
      <c r="N489" s="79"/>
      <c r="O489" s="79"/>
      <c r="P489" s="79"/>
      <c r="Q489" s="79"/>
      <c r="R489" s="79"/>
    </row>
    <row r="490">
      <c r="A490" s="1"/>
      <c r="B490" s="78"/>
      <c r="C490" s="78"/>
      <c r="D490" s="78"/>
      <c r="E490" s="78"/>
      <c r="M490" s="79"/>
      <c r="N490" s="79"/>
      <c r="O490" s="79"/>
      <c r="P490" s="79"/>
      <c r="Q490" s="79"/>
      <c r="R490" s="79"/>
    </row>
    <row r="491">
      <c r="A491" s="1"/>
      <c r="B491" s="78"/>
      <c r="C491" s="78"/>
      <c r="D491" s="78"/>
      <c r="E491" s="78"/>
      <c r="M491" s="79"/>
      <c r="N491" s="79"/>
      <c r="O491" s="79"/>
      <c r="P491" s="79"/>
      <c r="Q491" s="79"/>
      <c r="R491" s="79"/>
    </row>
    <row r="492">
      <c r="A492" s="1"/>
      <c r="B492" s="78"/>
      <c r="C492" s="78"/>
      <c r="D492" s="78"/>
      <c r="E492" s="78"/>
      <c r="M492" s="79"/>
      <c r="N492" s="79"/>
      <c r="O492" s="79"/>
      <c r="P492" s="79"/>
      <c r="Q492" s="79"/>
      <c r="R492" s="79"/>
    </row>
    <row r="493">
      <c r="A493" s="1"/>
      <c r="B493" s="78"/>
      <c r="C493" s="78"/>
      <c r="D493" s="78"/>
      <c r="E493" s="78"/>
      <c r="M493" s="79"/>
      <c r="N493" s="79"/>
      <c r="O493" s="79"/>
      <c r="P493" s="79"/>
      <c r="Q493" s="79"/>
      <c r="R493" s="79"/>
    </row>
    <row r="494">
      <c r="A494" s="1"/>
      <c r="B494" s="78"/>
      <c r="C494" s="78"/>
      <c r="D494" s="78"/>
      <c r="E494" s="78"/>
      <c r="M494" s="79"/>
      <c r="N494" s="79"/>
      <c r="O494" s="79"/>
      <c r="P494" s="79"/>
      <c r="Q494" s="79"/>
      <c r="R494" s="79"/>
    </row>
    <row r="495">
      <c r="A495" s="1"/>
      <c r="B495" s="78"/>
      <c r="C495" s="78"/>
      <c r="D495" s="78"/>
      <c r="E495" s="78"/>
      <c r="M495" s="79"/>
      <c r="N495" s="79"/>
      <c r="O495" s="79"/>
      <c r="P495" s="79"/>
      <c r="Q495" s="79"/>
      <c r="R495" s="79"/>
    </row>
    <row r="496">
      <c r="A496" s="1"/>
      <c r="B496" s="78"/>
      <c r="C496" s="78"/>
      <c r="D496" s="78"/>
      <c r="E496" s="78"/>
      <c r="M496" s="79"/>
      <c r="N496" s="79"/>
      <c r="O496" s="79"/>
      <c r="P496" s="79"/>
      <c r="Q496" s="79"/>
      <c r="R496" s="79"/>
    </row>
    <row r="497">
      <c r="A497" s="1"/>
      <c r="B497" s="78"/>
      <c r="C497" s="78"/>
      <c r="D497" s="78"/>
      <c r="E497" s="78"/>
      <c r="M497" s="79"/>
      <c r="N497" s="79"/>
      <c r="O497" s="79"/>
      <c r="P497" s="79"/>
      <c r="Q497" s="79"/>
      <c r="R497" s="79"/>
    </row>
    <row r="498">
      <c r="A498" s="1"/>
      <c r="B498" s="78"/>
      <c r="C498" s="78"/>
      <c r="D498" s="78"/>
      <c r="E498" s="78"/>
      <c r="M498" s="79"/>
      <c r="N498" s="79"/>
      <c r="O498" s="79"/>
      <c r="P498" s="79"/>
      <c r="Q498" s="79"/>
      <c r="R498" s="79"/>
    </row>
    <row r="499">
      <c r="A499" s="1"/>
      <c r="B499" s="78"/>
      <c r="C499" s="78"/>
      <c r="D499" s="78"/>
      <c r="E499" s="78"/>
      <c r="M499" s="79"/>
      <c r="N499" s="79"/>
      <c r="O499" s="79"/>
      <c r="P499" s="79"/>
      <c r="Q499" s="79"/>
      <c r="R499" s="79"/>
    </row>
    <row r="500">
      <c r="A500" s="1"/>
      <c r="B500" s="78"/>
      <c r="C500" s="78"/>
      <c r="D500" s="78"/>
      <c r="E500" s="78"/>
      <c r="M500" s="79"/>
      <c r="N500" s="79"/>
      <c r="O500" s="79"/>
      <c r="P500" s="79"/>
      <c r="Q500" s="79"/>
      <c r="R500" s="79"/>
    </row>
    <row r="501">
      <c r="A501" s="1"/>
      <c r="B501" s="78"/>
      <c r="C501" s="78"/>
      <c r="D501" s="78"/>
      <c r="E501" s="78"/>
      <c r="M501" s="79"/>
      <c r="N501" s="79"/>
      <c r="O501" s="79"/>
      <c r="P501" s="79"/>
      <c r="Q501" s="79"/>
      <c r="R501" s="79"/>
    </row>
    <row r="502">
      <c r="A502" s="1"/>
      <c r="B502" s="78"/>
      <c r="C502" s="78"/>
      <c r="D502" s="78"/>
      <c r="E502" s="78"/>
      <c r="M502" s="79"/>
      <c r="N502" s="79"/>
      <c r="O502" s="79"/>
      <c r="P502" s="79"/>
      <c r="Q502" s="79"/>
      <c r="R502" s="79"/>
    </row>
    <row r="503">
      <c r="A503" s="1"/>
      <c r="B503" s="78"/>
      <c r="C503" s="78"/>
      <c r="D503" s="78"/>
      <c r="E503" s="78"/>
      <c r="M503" s="79"/>
      <c r="N503" s="79"/>
      <c r="O503" s="79"/>
      <c r="P503" s="79"/>
      <c r="Q503" s="79"/>
      <c r="R503" s="79"/>
    </row>
    <row r="504">
      <c r="A504" s="1"/>
      <c r="B504" s="78"/>
      <c r="C504" s="78"/>
      <c r="D504" s="78"/>
      <c r="E504" s="78"/>
      <c r="M504" s="79"/>
      <c r="N504" s="79"/>
      <c r="O504" s="79"/>
      <c r="P504" s="79"/>
      <c r="Q504" s="79"/>
      <c r="R504" s="79"/>
    </row>
    <row r="505">
      <c r="A505" s="1"/>
      <c r="B505" s="78"/>
      <c r="C505" s="78"/>
      <c r="D505" s="78"/>
      <c r="E505" s="78"/>
      <c r="M505" s="79"/>
      <c r="N505" s="79"/>
      <c r="O505" s="79"/>
      <c r="P505" s="79"/>
      <c r="Q505" s="79"/>
      <c r="R505" s="79"/>
    </row>
    <row r="506">
      <c r="A506" s="1"/>
      <c r="B506" s="78"/>
      <c r="C506" s="78"/>
      <c r="D506" s="78"/>
      <c r="E506" s="78"/>
      <c r="M506" s="79"/>
      <c r="N506" s="79"/>
      <c r="O506" s="79"/>
      <c r="P506" s="79"/>
      <c r="Q506" s="79"/>
      <c r="R506" s="79"/>
    </row>
    <row r="507">
      <c r="A507" s="1"/>
      <c r="B507" s="78"/>
      <c r="C507" s="78"/>
      <c r="D507" s="78"/>
      <c r="E507" s="78"/>
      <c r="M507" s="79"/>
      <c r="N507" s="79"/>
      <c r="O507" s="79"/>
      <c r="P507" s="79"/>
      <c r="Q507" s="79"/>
      <c r="R507" s="79"/>
    </row>
    <row r="508">
      <c r="A508" s="1"/>
      <c r="B508" s="78"/>
      <c r="C508" s="78"/>
      <c r="D508" s="78"/>
      <c r="E508" s="78"/>
      <c r="M508" s="79"/>
      <c r="N508" s="79"/>
      <c r="O508" s="79"/>
      <c r="P508" s="79"/>
      <c r="Q508" s="79"/>
      <c r="R508" s="79"/>
    </row>
    <row r="509">
      <c r="A509" s="1"/>
      <c r="B509" s="78"/>
      <c r="C509" s="78"/>
      <c r="D509" s="78"/>
      <c r="E509" s="78"/>
      <c r="M509" s="79"/>
      <c r="N509" s="79"/>
      <c r="O509" s="79"/>
      <c r="P509" s="79"/>
      <c r="Q509" s="79"/>
      <c r="R509" s="79"/>
    </row>
    <row r="510">
      <c r="A510" s="1"/>
      <c r="B510" s="78"/>
      <c r="C510" s="78"/>
      <c r="D510" s="78"/>
      <c r="E510" s="78"/>
      <c r="M510" s="79"/>
      <c r="N510" s="79"/>
      <c r="O510" s="79"/>
      <c r="P510" s="79"/>
      <c r="Q510" s="79"/>
      <c r="R510" s="79"/>
    </row>
    <row r="511">
      <c r="A511" s="1"/>
      <c r="B511" s="78"/>
      <c r="C511" s="78"/>
      <c r="D511" s="78"/>
      <c r="E511" s="78"/>
      <c r="M511" s="79"/>
      <c r="N511" s="79"/>
      <c r="O511" s="79"/>
      <c r="P511" s="79"/>
      <c r="Q511" s="79"/>
      <c r="R511" s="79"/>
    </row>
    <row r="512">
      <c r="A512" s="1"/>
      <c r="B512" s="78"/>
      <c r="C512" s="78"/>
      <c r="D512" s="78"/>
      <c r="E512" s="78"/>
      <c r="M512" s="79"/>
      <c r="N512" s="79"/>
      <c r="O512" s="79"/>
      <c r="P512" s="79"/>
      <c r="Q512" s="79"/>
      <c r="R512" s="79"/>
    </row>
    <row r="513">
      <c r="A513" s="1"/>
      <c r="B513" s="78"/>
      <c r="C513" s="78"/>
      <c r="D513" s="78"/>
      <c r="E513" s="78"/>
      <c r="M513" s="79"/>
      <c r="N513" s="79"/>
      <c r="O513" s="79"/>
      <c r="P513" s="79"/>
      <c r="Q513" s="79"/>
      <c r="R513" s="79"/>
    </row>
    <row r="514">
      <c r="A514" s="1"/>
      <c r="B514" s="78"/>
      <c r="C514" s="78"/>
      <c r="D514" s="78"/>
      <c r="E514" s="78"/>
      <c r="M514" s="79"/>
      <c r="N514" s="79"/>
      <c r="O514" s="79"/>
      <c r="P514" s="79"/>
      <c r="Q514" s="79"/>
      <c r="R514" s="79"/>
    </row>
    <row r="515">
      <c r="A515" s="1"/>
      <c r="B515" s="78"/>
      <c r="C515" s="78"/>
      <c r="D515" s="78"/>
      <c r="E515" s="78"/>
      <c r="M515" s="79"/>
      <c r="N515" s="79"/>
      <c r="O515" s="79"/>
      <c r="P515" s="79"/>
      <c r="Q515" s="79"/>
      <c r="R515" s="79"/>
    </row>
    <row r="516">
      <c r="A516" s="1"/>
      <c r="B516" s="78"/>
      <c r="C516" s="78"/>
      <c r="D516" s="78"/>
      <c r="E516" s="78"/>
      <c r="M516" s="79"/>
      <c r="N516" s="79"/>
      <c r="O516" s="79"/>
      <c r="P516" s="79"/>
      <c r="Q516" s="79"/>
      <c r="R516" s="79"/>
    </row>
    <row r="517">
      <c r="A517" s="1"/>
      <c r="B517" s="78"/>
      <c r="C517" s="78"/>
      <c r="D517" s="78"/>
      <c r="E517" s="78"/>
      <c r="M517" s="79"/>
      <c r="N517" s="79"/>
      <c r="O517" s="79"/>
      <c r="P517" s="79"/>
      <c r="Q517" s="79"/>
      <c r="R517" s="79"/>
    </row>
    <row r="518">
      <c r="A518" s="1"/>
      <c r="B518" s="78"/>
      <c r="C518" s="78"/>
      <c r="D518" s="78"/>
      <c r="E518" s="78"/>
      <c r="M518" s="79"/>
      <c r="N518" s="79"/>
      <c r="O518" s="79"/>
      <c r="P518" s="79"/>
      <c r="Q518" s="79"/>
      <c r="R518" s="79"/>
    </row>
    <row r="519">
      <c r="A519" s="1"/>
      <c r="B519" s="78"/>
      <c r="C519" s="78"/>
      <c r="D519" s="78"/>
      <c r="E519" s="78"/>
      <c r="M519" s="79"/>
      <c r="N519" s="79"/>
      <c r="O519" s="79"/>
      <c r="P519" s="79"/>
      <c r="Q519" s="79"/>
      <c r="R519" s="79"/>
    </row>
    <row r="520">
      <c r="A520" s="1"/>
      <c r="B520" s="78"/>
      <c r="C520" s="78"/>
      <c r="D520" s="78"/>
      <c r="E520" s="78"/>
      <c r="M520" s="79"/>
      <c r="N520" s="79"/>
      <c r="O520" s="79"/>
      <c r="P520" s="79"/>
      <c r="Q520" s="79"/>
      <c r="R520" s="79"/>
    </row>
    <row r="521">
      <c r="A521" s="1"/>
      <c r="B521" s="78"/>
      <c r="C521" s="78"/>
      <c r="D521" s="78"/>
      <c r="E521" s="78"/>
      <c r="M521" s="79"/>
      <c r="N521" s="79"/>
      <c r="O521" s="79"/>
      <c r="P521" s="79"/>
      <c r="Q521" s="79"/>
      <c r="R521" s="79"/>
    </row>
    <row r="522">
      <c r="A522" s="1"/>
      <c r="B522" s="78"/>
      <c r="C522" s="78"/>
      <c r="D522" s="78"/>
      <c r="E522" s="78"/>
      <c r="M522" s="79"/>
      <c r="N522" s="79"/>
      <c r="O522" s="79"/>
      <c r="P522" s="79"/>
      <c r="Q522" s="79"/>
      <c r="R522" s="79"/>
    </row>
    <row r="523">
      <c r="A523" s="1"/>
      <c r="B523" s="78"/>
      <c r="C523" s="78"/>
      <c r="D523" s="78"/>
      <c r="E523" s="78"/>
      <c r="M523" s="79"/>
      <c r="N523" s="79"/>
      <c r="O523" s="79"/>
      <c r="P523" s="79"/>
      <c r="Q523" s="79"/>
      <c r="R523" s="79"/>
    </row>
    <row r="524">
      <c r="A524" s="1"/>
      <c r="B524" s="78"/>
      <c r="C524" s="78"/>
      <c r="D524" s="78"/>
      <c r="E524" s="78"/>
      <c r="M524" s="79"/>
      <c r="N524" s="79"/>
      <c r="O524" s="79"/>
      <c r="P524" s="79"/>
      <c r="Q524" s="79"/>
      <c r="R524" s="79"/>
    </row>
    <row r="525">
      <c r="A525" s="1"/>
      <c r="B525" s="78"/>
      <c r="C525" s="78"/>
      <c r="D525" s="78"/>
      <c r="E525" s="78"/>
      <c r="M525" s="79"/>
      <c r="N525" s="79"/>
      <c r="O525" s="79"/>
      <c r="P525" s="79"/>
      <c r="Q525" s="79"/>
      <c r="R525" s="79"/>
    </row>
    <row r="526">
      <c r="A526" s="1"/>
      <c r="B526" s="78"/>
      <c r="C526" s="78"/>
      <c r="D526" s="78"/>
      <c r="E526" s="78"/>
      <c r="M526" s="79"/>
      <c r="N526" s="79"/>
      <c r="O526" s="79"/>
      <c r="P526" s="79"/>
      <c r="Q526" s="79"/>
      <c r="R526" s="79"/>
    </row>
    <row r="527">
      <c r="A527" s="1"/>
      <c r="B527" s="78"/>
      <c r="C527" s="78"/>
      <c r="D527" s="78"/>
      <c r="E527" s="78"/>
      <c r="M527" s="79"/>
      <c r="N527" s="79"/>
      <c r="O527" s="79"/>
      <c r="P527" s="79"/>
      <c r="Q527" s="79"/>
      <c r="R527" s="79"/>
    </row>
    <row r="528">
      <c r="A528" s="1"/>
      <c r="B528" s="78"/>
      <c r="C528" s="78"/>
      <c r="D528" s="78"/>
      <c r="E528" s="78"/>
      <c r="M528" s="79"/>
      <c r="N528" s="79"/>
      <c r="O528" s="79"/>
      <c r="P528" s="79"/>
      <c r="Q528" s="79"/>
      <c r="R528" s="79"/>
    </row>
    <row r="529">
      <c r="A529" s="1"/>
      <c r="B529" s="78"/>
      <c r="C529" s="78"/>
      <c r="D529" s="78"/>
      <c r="E529" s="78"/>
      <c r="M529" s="79"/>
      <c r="N529" s="79"/>
      <c r="O529" s="79"/>
      <c r="P529" s="79"/>
      <c r="Q529" s="79"/>
      <c r="R529" s="79"/>
    </row>
    <row r="530">
      <c r="A530" s="1"/>
      <c r="B530" s="78"/>
      <c r="C530" s="78"/>
      <c r="D530" s="78"/>
      <c r="E530" s="78"/>
      <c r="M530" s="79"/>
      <c r="N530" s="79"/>
      <c r="O530" s="79"/>
      <c r="P530" s="79"/>
      <c r="Q530" s="79"/>
      <c r="R530" s="79"/>
    </row>
    <row r="531">
      <c r="A531" s="1"/>
      <c r="B531" s="78"/>
      <c r="C531" s="78"/>
      <c r="D531" s="78"/>
      <c r="E531" s="78"/>
      <c r="M531" s="79"/>
      <c r="N531" s="79"/>
      <c r="O531" s="79"/>
      <c r="P531" s="79"/>
      <c r="Q531" s="79"/>
      <c r="R531" s="79"/>
    </row>
    <row r="532">
      <c r="A532" s="1"/>
      <c r="B532" s="78"/>
      <c r="C532" s="78"/>
      <c r="D532" s="78"/>
      <c r="E532" s="78"/>
      <c r="M532" s="79"/>
      <c r="N532" s="79"/>
      <c r="O532" s="79"/>
      <c r="P532" s="79"/>
      <c r="Q532" s="79"/>
      <c r="R532" s="79"/>
    </row>
    <row r="533">
      <c r="A533" s="1"/>
      <c r="B533" s="78"/>
      <c r="C533" s="78"/>
      <c r="D533" s="78"/>
      <c r="E533" s="78"/>
      <c r="M533" s="79"/>
      <c r="N533" s="79"/>
      <c r="O533" s="79"/>
      <c r="P533" s="79"/>
      <c r="Q533" s="79"/>
      <c r="R533" s="79"/>
    </row>
    <row r="534">
      <c r="A534" s="1"/>
      <c r="B534" s="78"/>
      <c r="C534" s="78"/>
      <c r="D534" s="78"/>
      <c r="E534" s="78"/>
      <c r="M534" s="79"/>
      <c r="N534" s="79"/>
      <c r="O534" s="79"/>
      <c r="P534" s="79"/>
      <c r="Q534" s="79"/>
      <c r="R534" s="79"/>
    </row>
    <row r="535">
      <c r="A535" s="1"/>
      <c r="B535" s="78"/>
      <c r="C535" s="78"/>
      <c r="D535" s="78"/>
      <c r="E535" s="78"/>
      <c r="M535" s="79"/>
      <c r="N535" s="79"/>
      <c r="O535" s="79"/>
      <c r="P535" s="79"/>
      <c r="Q535" s="79"/>
      <c r="R535" s="79"/>
    </row>
    <row r="536">
      <c r="A536" s="1"/>
      <c r="B536" s="78"/>
      <c r="C536" s="78"/>
      <c r="D536" s="78"/>
      <c r="E536" s="78"/>
      <c r="M536" s="79"/>
      <c r="N536" s="79"/>
      <c r="O536" s="79"/>
      <c r="P536" s="79"/>
      <c r="Q536" s="79"/>
      <c r="R536" s="79"/>
    </row>
    <row r="537">
      <c r="A537" s="1"/>
      <c r="B537" s="78"/>
      <c r="C537" s="78"/>
      <c r="D537" s="78"/>
      <c r="E537" s="78"/>
      <c r="M537" s="79"/>
      <c r="N537" s="79"/>
      <c r="O537" s="79"/>
      <c r="P537" s="79"/>
      <c r="Q537" s="79"/>
      <c r="R537" s="79"/>
    </row>
    <row r="538">
      <c r="A538" s="1"/>
      <c r="B538" s="78"/>
      <c r="C538" s="78"/>
      <c r="D538" s="78"/>
      <c r="E538" s="78"/>
      <c r="M538" s="79"/>
      <c r="N538" s="79"/>
      <c r="O538" s="79"/>
      <c r="P538" s="79"/>
      <c r="Q538" s="79"/>
      <c r="R538" s="79"/>
    </row>
    <row r="539">
      <c r="A539" s="1"/>
      <c r="B539" s="78"/>
      <c r="C539" s="78"/>
      <c r="D539" s="78"/>
      <c r="E539" s="78"/>
      <c r="M539" s="79"/>
      <c r="N539" s="79"/>
      <c r="O539" s="79"/>
      <c r="P539" s="79"/>
      <c r="Q539" s="79"/>
      <c r="R539" s="79"/>
    </row>
    <row r="540">
      <c r="A540" s="1"/>
      <c r="B540" s="78"/>
      <c r="C540" s="78"/>
      <c r="D540" s="78"/>
      <c r="E540" s="78"/>
      <c r="M540" s="79"/>
      <c r="N540" s="79"/>
      <c r="O540" s="79"/>
      <c r="P540" s="79"/>
      <c r="Q540" s="79"/>
      <c r="R540" s="79"/>
    </row>
    <row r="541">
      <c r="A541" s="1"/>
      <c r="B541" s="78"/>
      <c r="C541" s="78"/>
      <c r="D541" s="78"/>
      <c r="E541" s="78"/>
      <c r="M541" s="79"/>
      <c r="N541" s="79"/>
      <c r="O541" s="79"/>
      <c r="P541" s="79"/>
      <c r="Q541" s="79"/>
      <c r="R541" s="79"/>
    </row>
    <row r="542">
      <c r="A542" s="1"/>
      <c r="B542" s="78"/>
      <c r="C542" s="78"/>
      <c r="D542" s="78"/>
      <c r="E542" s="78"/>
      <c r="M542" s="79"/>
      <c r="N542" s="79"/>
      <c r="O542" s="79"/>
      <c r="P542" s="79"/>
      <c r="Q542" s="79"/>
      <c r="R542" s="79"/>
    </row>
    <row r="543">
      <c r="A543" s="1"/>
      <c r="B543" s="78"/>
      <c r="C543" s="78"/>
      <c r="D543" s="78"/>
      <c r="E543" s="78"/>
      <c r="M543" s="79"/>
      <c r="N543" s="79"/>
      <c r="O543" s="79"/>
      <c r="P543" s="79"/>
      <c r="Q543" s="79"/>
      <c r="R543" s="79"/>
    </row>
    <row r="544">
      <c r="A544" s="1"/>
      <c r="B544" s="78"/>
      <c r="C544" s="78"/>
      <c r="D544" s="78"/>
      <c r="E544" s="78"/>
      <c r="M544" s="79"/>
      <c r="N544" s="79"/>
      <c r="O544" s="79"/>
      <c r="P544" s="79"/>
      <c r="Q544" s="79"/>
      <c r="R544" s="79"/>
    </row>
    <row r="545">
      <c r="A545" s="1"/>
      <c r="B545" s="78"/>
      <c r="C545" s="78"/>
      <c r="D545" s="78"/>
      <c r="E545" s="78"/>
      <c r="M545" s="79"/>
      <c r="N545" s="79"/>
      <c r="O545" s="79"/>
      <c r="P545" s="79"/>
      <c r="Q545" s="79"/>
      <c r="R545" s="79"/>
    </row>
    <row r="546">
      <c r="A546" s="1"/>
      <c r="B546" s="78"/>
      <c r="C546" s="78"/>
      <c r="D546" s="78"/>
      <c r="E546" s="78"/>
      <c r="M546" s="79"/>
      <c r="N546" s="79"/>
      <c r="O546" s="79"/>
      <c r="P546" s="79"/>
      <c r="Q546" s="79"/>
      <c r="R546" s="79"/>
    </row>
    <row r="547">
      <c r="A547" s="1"/>
      <c r="B547" s="78"/>
      <c r="C547" s="78"/>
      <c r="D547" s="78"/>
      <c r="E547" s="78"/>
      <c r="M547" s="79"/>
      <c r="N547" s="79"/>
      <c r="O547" s="79"/>
      <c r="P547" s="79"/>
      <c r="Q547" s="79"/>
      <c r="R547" s="79"/>
    </row>
    <row r="548">
      <c r="A548" s="1"/>
      <c r="B548" s="78"/>
      <c r="C548" s="78"/>
      <c r="D548" s="78"/>
      <c r="E548" s="78"/>
      <c r="M548" s="79"/>
      <c r="N548" s="79"/>
      <c r="O548" s="79"/>
      <c r="P548" s="79"/>
      <c r="Q548" s="79"/>
      <c r="R548" s="79"/>
    </row>
    <row r="549">
      <c r="A549" s="1"/>
      <c r="B549" s="78"/>
      <c r="C549" s="78"/>
      <c r="D549" s="78"/>
      <c r="E549" s="78"/>
      <c r="M549" s="79"/>
      <c r="N549" s="79"/>
      <c r="O549" s="79"/>
      <c r="P549" s="79"/>
      <c r="Q549" s="79"/>
      <c r="R549" s="79"/>
    </row>
    <row r="550">
      <c r="A550" s="1"/>
      <c r="B550" s="78"/>
      <c r="C550" s="78"/>
      <c r="D550" s="78"/>
      <c r="E550" s="78"/>
      <c r="M550" s="79"/>
      <c r="N550" s="79"/>
      <c r="O550" s="79"/>
      <c r="P550" s="79"/>
      <c r="Q550" s="79"/>
      <c r="R550" s="79"/>
    </row>
    <row r="551">
      <c r="A551" s="1"/>
      <c r="B551" s="78"/>
      <c r="C551" s="78"/>
      <c r="D551" s="78"/>
      <c r="E551" s="78"/>
      <c r="M551" s="79"/>
      <c r="N551" s="79"/>
      <c r="O551" s="79"/>
      <c r="P551" s="79"/>
      <c r="Q551" s="79"/>
      <c r="R551" s="79"/>
    </row>
    <row r="552">
      <c r="A552" s="1"/>
      <c r="B552" s="78"/>
      <c r="C552" s="78"/>
      <c r="D552" s="78"/>
      <c r="E552" s="78"/>
      <c r="M552" s="79"/>
      <c r="N552" s="79"/>
      <c r="O552" s="79"/>
      <c r="P552" s="79"/>
      <c r="Q552" s="79"/>
      <c r="R552" s="79"/>
    </row>
    <row r="553">
      <c r="A553" s="1"/>
      <c r="B553" s="78"/>
      <c r="C553" s="78"/>
      <c r="D553" s="78"/>
      <c r="E553" s="78"/>
      <c r="M553" s="79"/>
      <c r="N553" s="79"/>
      <c r="O553" s="79"/>
      <c r="P553" s="79"/>
      <c r="Q553" s="79"/>
      <c r="R553" s="79"/>
    </row>
    <row r="554">
      <c r="A554" s="1"/>
      <c r="B554" s="78"/>
      <c r="C554" s="78"/>
      <c r="D554" s="78"/>
      <c r="E554" s="78"/>
      <c r="M554" s="79"/>
      <c r="N554" s="79"/>
      <c r="O554" s="79"/>
      <c r="P554" s="79"/>
      <c r="Q554" s="79"/>
      <c r="R554" s="79"/>
    </row>
    <row r="555">
      <c r="A555" s="1"/>
      <c r="B555" s="78"/>
      <c r="C555" s="78"/>
      <c r="D555" s="78"/>
      <c r="E555" s="78"/>
      <c r="M555" s="79"/>
      <c r="N555" s="79"/>
      <c r="O555" s="79"/>
      <c r="P555" s="79"/>
      <c r="Q555" s="79"/>
      <c r="R555" s="79"/>
    </row>
    <row r="556">
      <c r="A556" s="1"/>
      <c r="B556" s="78"/>
      <c r="C556" s="78"/>
      <c r="D556" s="78"/>
      <c r="E556" s="78"/>
      <c r="M556" s="79"/>
      <c r="N556" s="79"/>
      <c r="O556" s="79"/>
      <c r="P556" s="79"/>
      <c r="Q556" s="79"/>
      <c r="R556" s="79"/>
    </row>
    <row r="557">
      <c r="A557" s="1"/>
      <c r="B557" s="78"/>
      <c r="C557" s="78"/>
      <c r="D557" s="78"/>
      <c r="E557" s="78"/>
      <c r="M557" s="79"/>
      <c r="N557" s="79"/>
      <c r="O557" s="79"/>
      <c r="P557" s="79"/>
      <c r="Q557" s="79"/>
      <c r="R557" s="79"/>
    </row>
    <row r="558">
      <c r="A558" s="1"/>
      <c r="B558" s="78"/>
      <c r="C558" s="78"/>
      <c r="D558" s="78"/>
      <c r="E558" s="78"/>
      <c r="M558" s="79"/>
      <c r="N558" s="79"/>
      <c r="O558" s="79"/>
      <c r="P558" s="79"/>
      <c r="Q558" s="79"/>
      <c r="R558" s="79"/>
    </row>
    <row r="559">
      <c r="A559" s="1"/>
      <c r="B559" s="78"/>
      <c r="C559" s="78"/>
      <c r="D559" s="78"/>
      <c r="E559" s="78"/>
      <c r="M559" s="79"/>
      <c r="N559" s="79"/>
      <c r="O559" s="79"/>
      <c r="P559" s="79"/>
      <c r="Q559" s="79"/>
      <c r="R559" s="79"/>
    </row>
    <row r="560">
      <c r="A560" s="1"/>
      <c r="B560" s="78"/>
      <c r="C560" s="78"/>
      <c r="D560" s="78"/>
      <c r="E560" s="78"/>
      <c r="M560" s="79"/>
      <c r="N560" s="79"/>
      <c r="O560" s="79"/>
      <c r="P560" s="79"/>
      <c r="Q560" s="79"/>
      <c r="R560" s="79"/>
    </row>
    <row r="561">
      <c r="A561" s="1"/>
      <c r="B561" s="78"/>
      <c r="C561" s="78"/>
      <c r="D561" s="78"/>
      <c r="E561" s="78"/>
      <c r="M561" s="79"/>
      <c r="N561" s="79"/>
      <c r="O561" s="79"/>
      <c r="P561" s="79"/>
      <c r="Q561" s="79"/>
      <c r="R561" s="79"/>
    </row>
    <row r="562">
      <c r="A562" s="1"/>
      <c r="B562" s="78"/>
      <c r="C562" s="78"/>
      <c r="D562" s="78"/>
      <c r="E562" s="78"/>
      <c r="M562" s="79"/>
      <c r="N562" s="79"/>
      <c r="O562" s="79"/>
      <c r="P562" s="79"/>
      <c r="Q562" s="79"/>
      <c r="R562" s="79"/>
    </row>
    <row r="563">
      <c r="A563" s="1"/>
      <c r="B563" s="78"/>
      <c r="C563" s="78"/>
      <c r="D563" s="78"/>
      <c r="E563" s="78"/>
      <c r="M563" s="79"/>
      <c r="N563" s="79"/>
      <c r="O563" s="79"/>
      <c r="P563" s="79"/>
      <c r="Q563" s="79"/>
      <c r="R563" s="79"/>
    </row>
    <row r="564">
      <c r="A564" s="1"/>
      <c r="B564" s="78"/>
      <c r="C564" s="78"/>
      <c r="D564" s="78"/>
      <c r="E564" s="78"/>
      <c r="M564" s="79"/>
      <c r="N564" s="79"/>
      <c r="O564" s="79"/>
      <c r="P564" s="79"/>
      <c r="Q564" s="79"/>
      <c r="R564" s="79"/>
    </row>
    <row r="565">
      <c r="A565" s="1"/>
      <c r="B565" s="78"/>
      <c r="C565" s="78"/>
      <c r="D565" s="78"/>
      <c r="E565" s="78"/>
      <c r="M565" s="79"/>
      <c r="N565" s="79"/>
      <c r="O565" s="79"/>
      <c r="P565" s="79"/>
      <c r="Q565" s="79"/>
      <c r="R565" s="79"/>
    </row>
    <row r="566">
      <c r="A566" s="1"/>
      <c r="B566" s="78"/>
      <c r="C566" s="78"/>
      <c r="D566" s="78"/>
      <c r="E566" s="78"/>
      <c r="M566" s="79"/>
      <c r="N566" s="79"/>
      <c r="O566" s="79"/>
      <c r="P566" s="79"/>
      <c r="Q566" s="79"/>
      <c r="R566" s="79"/>
    </row>
    <row r="567">
      <c r="A567" s="1"/>
      <c r="B567" s="78"/>
      <c r="C567" s="78"/>
      <c r="D567" s="78"/>
      <c r="E567" s="78"/>
      <c r="M567" s="79"/>
      <c r="N567" s="79"/>
      <c r="O567" s="79"/>
      <c r="P567" s="79"/>
      <c r="Q567" s="79"/>
      <c r="R567" s="79"/>
    </row>
    <row r="568">
      <c r="A568" s="1"/>
      <c r="B568" s="78"/>
      <c r="C568" s="78"/>
      <c r="D568" s="78"/>
      <c r="E568" s="78"/>
      <c r="M568" s="79"/>
      <c r="N568" s="79"/>
      <c r="O568" s="79"/>
      <c r="P568" s="79"/>
      <c r="Q568" s="79"/>
      <c r="R568" s="79"/>
    </row>
    <row r="569">
      <c r="A569" s="1"/>
      <c r="B569" s="78"/>
      <c r="C569" s="78"/>
      <c r="D569" s="78"/>
      <c r="E569" s="78"/>
      <c r="M569" s="79"/>
      <c r="N569" s="79"/>
      <c r="O569" s="79"/>
      <c r="P569" s="79"/>
      <c r="Q569" s="79"/>
      <c r="R569" s="79"/>
    </row>
    <row r="570">
      <c r="A570" s="1"/>
      <c r="B570" s="78"/>
      <c r="C570" s="78"/>
      <c r="D570" s="78"/>
      <c r="E570" s="78"/>
      <c r="M570" s="79"/>
      <c r="N570" s="79"/>
      <c r="O570" s="79"/>
      <c r="P570" s="79"/>
      <c r="Q570" s="79"/>
      <c r="R570" s="79"/>
    </row>
    <row r="571">
      <c r="A571" s="1"/>
      <c r="B571" s="78"/>
      <c r="C571" s="78"/>
      <c r="D571" s="78"/>
      <c r="E571" s="78"/>
      <c r="M571" s="79"/>
      <c r="N571" s="79"/>
      <c r="O571" s="79"/>
      <c r="P571" s="79"/>
      <c r="Q571" s="79"/>
      <c r="R571" s="79"/>
    </row>
    <row r="572">
      <c r="A572" s="1"/>
      <c r="B572" s="78"/>
      <c r="C572" s="78"/>
      <c r="D572" s="78"/>
      <c r="E572" s="78"/>
      <c r="M572" s="79"/>
      <c r="N572" s="79"/>
      <c r="O572" s="79"/>
      <c r="P572" s="79"/>
      <c r="Q572" s="79"/>
      <c r="R572" s="79"/>
    </row>
    <row r="573">
      <c r="A573" s="1"/>
      <c r="B573" s="78"/>
      <c r="C573" s="78"/>
      <c r="D573" s="78"/>
      <c r="E573" s="78"/>
      <c r="M573" s="79"/>
      <c r="N573" s="79"/>
      <c r="O573" s="79"/>
      <c r="P573" s="79"/>
      <c r="Q573" s="79"/>
      <c r="R573" s="79"/>
    </row>
    <row r="574">
      <c r="A574" s="1"/>
      <c r="B574" s="78"/>
      <c r="C574" s="78"/>
      <c r="D574" s="78"/>
      <c r="E574" s="78"/>
      <c r="M574" s="79"/>
      <c r="N574" s="79"/>
      <c r="O574" s="79"/>
      <c r="P574" s="79"/>
      <c r="Q574" s="79"/>
      <c r="R574" s="79"/>
    </row>
    <row r="575">
      <c r="A575" s="1"/>
      <c r="B575" s="78"/>
      <c r="C575" s="78"/>
      <c r="D575" s="78"/>
      <c r="E575" s="78"/>
      <c r="M575" s="79"/>
      <c r="N575" s="79"/>
      <c r="O575" s="79"/>
      <c r="P575" s="79"/>
      <c r="Q575" s="79"/>
      <c r="R575" s="79"/>
    </row>
    <row r="576">
      <c r="A576" s="1"/>
      <c r="B576" s="78"/>
      <c r="C576" s="78"/>
      <c r="D576" s="78"/>
      <c r="E576" s="78"/>
      <c r="M576" s="79"/>
      <c r="N576" s="79"/>
      <c r="O576" s="79"/>
      <c r="P576" s="79"/>
      <c r="Q576" s="79"/>
      <c r="R576" s="79"/>
    </row>
    <row r="577">
      <c r="A577" s="1"/>
      <c r="B577" s="78"/>
      <c r="C577" s="78"/>
      <c r="D577" s="78"/>
      <c r="E577" s="78"/>
      <c r="M577" s="79"/>
      <c r="N577" s="79"/>
      <c r="O577" s="79"/>
      <c r="P577" s="79"/>
      <c r="Q577" s="79"/>
      <c r="R577" s="79"/>
    </row>
    <row r="578">
      <c r="A578" s="1"/>
      <c r="B578" s="78"/>
      <c r="C578" s="78"/>
      <c r="D578" s="78"/>
      <c r="E578" s="78"/>
      <c r="M578" s="79"/>
      <c r="N578" s="79"/>
      <c r="O578" s="79"/>
      <c r="P578" s="79"/>
      <c r="Q578" s="79"/>
      <c r="R578" s="79"/>
    </row>
    <row r="579">
      <c r="A579" s="1"/>
      <c r="B579" s="78"/>
      <c r="C579" s="78"/>
      <c r="D579" s="78"/>
      <c r="E579" s="78"/>
      <c r="M579" s="79"/>
      <c r="N579" s="79"/>
      <c r="O579" s="79"/>
      <c r="P579" s="79"/>
      <c r="Q579" s="79"/>
      <c r="R579" s="79"/>
    </row>
    <row r="580">
      <c r="A580" s="1"/>
      <c r="B580" s="78"/>
      <c r="C580" s="78"/>
      <c r="D580" s="78"/>
      <c r="E580" s="78"/>
      <c r="M580" s="79"/>
      <c r="N580" s="79"/>
      <c r="O580" s="79"/>
      <c r="P580" s="79"/>
      <c r="Q580" s="79"/>
      <c r="R580" s="79"/>
    </row>
    <row r="581">
      <c r="A581" s="1"/>
      <c r="B581" s="78"/>
      <c r="C581" s="78"/>
      <c r="D581" s="78"/>
      <c r="E581" s="78"/>
      <c r="M581" s="79"/>
      <c r="N581" s="79"/>
      <c r="O581" s="79"/>
      <c r="P581" s="79"/>
      <c r="Q581" s="79"/>
      <c r="R581" s="79"/>
    </row>
    <row r="582">
      <c r="A582" s="1"/>
      <c r="B582" s="78"/>
      <c r="C582" s="78"/>
      <c r="D582" s="78"/>
      <c r="E582" s="78"/>
      <c r="M582" s="79"/>
      <c r="N582" s="79"/>
      <c r="O582" s="79"/>
      <c r="P582" s="79"/>
      <c r="Q582" s="79"/>
      <c r="R582" s="79"/>
    </row>
    <row r="583">
      <c r="A583" s="1"/>
      <c r="B583" s="78"/>
      <c r="C583" s="78"/>
      <c r="D583" s="78"/>
      <c r="E583" s="78"/>
      <c r="M583" s="79"/>
      <c r="N583" s="79"/>
      <c r="O583" s="79"/>
      <c r="P583" s="79"/>
      <c r="Q583" s="79"/>
      <c r="R583" s="79"/>
    </row>
    <row r="584">
      <c r="A584" s="1"/>
      <c r="B584" s="78"/>
      <c r="C584" s="78"/>
      <c r="D584" s="78"/>
      <c r="E584" s="78"/>
      <c r="M584" s="79"/>
      <c r="N584" s="79"/>
      <c r="O584" s="79"/>
      <c r="P584" s="79"/>
      <c r="Q584" s="79"/>
      <c r="R584" s="79"/>
    </row>
    <row r="585">
      <c r="A585" s="1"/>
      <c r="B585" s="78"/>
      <c r="C585" s="78"/>
      <c r="D585" s="78"/>
      <c r="E585" s="78"/>
      <c r="M585" s="79"/>
      <c r="N585" s="79"/>
      <c r="O585" s="79"/>
      <c r="P585" s="79"/>
      <c r="Q585" s="79"/>
      <c r="R585" s="79"/>
    </row>
    <row r="586">
      <c r="A586" s="1"/>
      <c r="B586" s="78"/>
      <c r="C586" s="78"/>
      <c r="D586" s="78"/>
      <c r="E586" s="78"/>
      <c r="M586" s="79"/>
      <c r="N586" s="79"/>
      <c r="O586" s="79"/>
      <c r="P586" s="79"/>
      <c r="Q586" s="79"/>
      <c r="R586" s="79"/>
    </row>
    <row r="587">
      <c r="A587" s="1"/>
      <c r="B587" s="78"/>
      <c r="C587" s="78"/>
      <c r="D587" s="78"/>
      <c r="E587" s="78"/>
      <c r="M587" s="79"/>
      <c r="N587" s="79"/>
      <c r="O587" s="79"/>
      <c r="P587" s="79"/>
      <c r="Q587" s="79"/>
      <c r="R587" s="79"/>
    </row>
    <row r="588">
      <c r="A588" s="1"/>
      <c r="B588" s="78"/>
      <c r="C588" s="78"/>
      <c r="D588" s="78"/>
      <c r="E588" s="78"/>
      <c r="M588" s="79"/>
      <c r="N588" s="79"/>
      <c r="O588" s="79"/>
      <c r="P588" s="79"/>
      <c r="Q588" s="79"/>
      <c r="R588" s="79"/>
    </row>
    <row r="589">
      <c r="A589" s="1"/>
      <c r="B589" s="78"/>
      <c r="C589" s="78"/>
      <c r="D589" s="78"/>
      <c r="E589" s="78"/>
      <c r="M589" s="79"/>
      <c r="N589" s="79"/>
      <c r="O589" s="79"/>
      <c r="P589" s="79"/>
      <c r="Q589" s="79"/>
      <c r="R589" s="79"/>
    </row>
    <row r="590">
      <c r="A590" s="1"/>
      <c r="B590" s="78"/>
      <c r="C590" s="78"/>
      <c r="D590" s="78"/>
      <c r="E590" s="78"/>
      <c r="M590" s="79"/>
      <c r="N590" s="79"/>
      <c r="O590" s="79"/>
      <c r="P590" s="79"/>
      <c r="Q590" s="79"/>
      <c r="R590" s="79"/>
    </row>
    <row r="591">
      <c r="A591" s="1"/>
      <c r="B591" s="78"/>
      <c r="C591" s="78"/>
      <c r="D591" s="78"/>
      <c r="E591" s="78"/>
      <c r="M591" s="79"/>
      <c r="N591" s="79"/>
      <c r="O591" s="79"/>
      <c r="P591" s="79"/>
      <c r="Q591" s="79"/>
      <c r="R591" s="79"/>
    </row>
    <row r="592">
      <c r="A592" s="1"/>
      <c r="B592" s="78"/>
      <c r="C592" s="78"/>
      <c r="D592" s="78"/>
      <c r="E592" s="78"/>
      <c r="M592" s="79"/>
      <c r="N592" s="79"/>
      <c r="O592" s="79"/>
      <c r="P592" s="79"/>
      <c r="Q592" s="79"/>
      <c r="R592" s="79"/>
    </row>
    <row r="593">
      <c r="A593" s="1"/>
      <c r="B593" s="78"/>
      <c r="C593" s="78"/>
      <c r="D593" s="78"/>
      <c r="E593" s="78"/>
      <c r="M593" s="79"/>
      <c r="N593" s="79"/>
      <c r="O593" s="79"/>
      <c r="P593" s="79"/>
      <c r="Q593" s="79"/>
      <c r="R593" s="79"/>
    </row>
    <row r="594">
      <c r="A594" s="1"/>
      <c r="B594" s="78"/>
      <c r="C594" s="78"/>
      <c r="D594" s="78"/>
      <c r="E594" s="78"/>
      <c r="M594" s="79"/>
      <c r="N594" s="79"/>
      <c r="O594" s="79"/>
      <c r="P594" s="79"/>
      <c r="Q594" s="79"/>
      <c r="R594" s="79"/>
    </row>
    <row r="595">
      <c r="A595" s="1"/>
      <c r="B595" s="78"/>
      <c r="C595" s="78"/>
      <c r="D595" s="78"/>
      <c r="E595" s="78"/>
      <c r="M595" s="79"/>
      <c r="N595" s="79"/>
      <c r="O595" s="79"/>
      <c r="P595" s="79"/>
      <c r="Q595" s="79"/>
      <c r="R595" s="79"/>
    </row>
    <row r="596">
      <c r="A596" s="1"/>
      <c r="B596" s="78"/>
      <c r="C596" s="78"/>
      <c r="D596" s="78"/>
      <c r="E596" s="78"/>
      <c r="M596" s="79"/>
      <c r="N596" s="79"/>
      <c r="O596" s="79"/>
      <c r="P596" s="79"/>
      <c r="Q596" s="79"/>
      <c r="R596" s="79"/>
    </row>
    <row r="597">
      <c r="A597" s="1"/>
      <c r="B597" s="78"/>
      <c r="C597" s="78"/>
      <c r="D597" s="78"/>
      <c r="E597" s="78"/>
      <c r="M597" s="79"/>
      <c r="N597" s="79"/>
      <c r="O597" s="79"/>
      <c r="P597" s="79"/>
      <c r="Q597" s="79"/>
      <c r="R597" s="79"/>
    </row>
    <row r="598">
      <c r="A598" s="1"/>
      <c r="B598" s="78"/>
      <c r="C598" s="78"/>
      <c r="D598" s="78"/>
      <c r="E598" s="78"/>
      <c r="M598" s="79"/>
      <c r="N598" s="79"/>
      <c r="O598" s="79"/>
      <c r="P598" s="79"/>
      <c r="Q598" s="79"/>
      <c r="R598" s="79"/>
    </row>
    <row r="599">
      <c r="A599" s="1"/>
      <c r="B599" s="78"/>
      <c r="C599" s="78"/>
      <c r="D599" s="78"/>
      <c r="E599" s="78"/>
      <c r="M599" s="79"/>
      <c r="N599" s="79"/>
      <c r="O599" s="79"/>
      <c r="P599" s="79"/>
      <c r="Q599" s="79"/>
      <c r="R599" s="79"/>
    </row>
    <row r="600">
      <c r="A600" s="1"/>
      <c r="B600" s="78"/>
      <c r="C600" s="78"/>
      <c r="D600" s="78"/>
      <c r="E600" s="78"/>
      <c r="M600" s="79"/>
      <c r="N600" s="79"/>
      <c r="O600" s="79"/>
      <c r="P600" s="79"/>
      <c r="Q600" s="79"/>
      <c r="R600" s="79"/>
    </row>
    <row r="601">
      <c r="A601" s="1"/>
      <c r="B601" s="78"/>
      <c r="C601" s="78"/>
      <c r="D601" s="78"/>
      <c r="E601" s="78"/>
      <c r="M601" s="79"/>
      <c r="N601" s="79"/>
      <c r="O601" s="79"/>
      <c r="P601" s="79"/>
      <c r="Q601" s="79"/>
      <c r="R601" s="79"/>
    </row>
    <row r="602">
      <c r="A602" s="1"/>
      <c r="B602" s="78"/>
      <c r="C602" s="78"/>
      <c r="D602" s="78"/>
      <c r="E602" s="78"/>
      <c r="M602" s="79"/>
      <c r="N602" s="79"/>
      <c r="O602" s="79"/>
      <c r="P602" s="79"/>
      <c r="Q602" s="79"/>
      <c r="R602" s="79"/>
    </row>
    <row r="603">
      <c r="A603" s="1"/>
      <c r="B603" s="78"/>
      <c r="C603" s="78"/>
      <c r="D603" s="78"/>
      <c r="E603" s="78"/>
      <c r="M603" s="79"/>
      <c r="N603" s="79"/>
      <c r="O603" s="79"/>
      <c r="P603" s="79"/>
      <c r="Q603" s="79"/>
      <c r="R603" s="79"/>
    </row>
    <row r="604">
      <c r="A604" s="1"/>
      <c r="B604" s="78"/>
      <c r="C604" s="78"/>
      <c r="D604" s="78"/>
      <c r="E604" s="78"/>
      <c r="M604" s="79"/>
      <c r="N604" s="79"/>
      <c r="O604" s="79"/>
      <c r="P604" s="79"/>
      <c r="Q604" s="79"/>
      <c r="R604" s="79"/>
    </row>
    <row r="605">
      <c r="A605" s="1"/>
      <c r="B605" s="78"/>
      <c r="C605" s="78"/>
      <c r="D605" s="78"/>
      <c r="E605" s="78"/>
      <c r="M605" s="79"/>
      <c r="N605" s="79"/>
      <c r="O605" s="79"/>
      <c r="P605" s="79"/>
      <c r="Q605" s="79"/>
      <c r="R605" s="79"/>
    </row>
    <row r="606">
      <c r="A606" s="1"/>
      <c r="B606" s="78"/>
      <c r="C606" s="78"/>
      <c r="D606" s="78"/>
      <c r="E606" s="78"/>
      <c r="M606" s="79"/>
      <c r="N606" s="79"/>
      <c r="O606" s="79"/>
      <c r="P606" s="79"/>
      <c r="Q606" s="79"/>
      <c r="R606" s="79"/>
    </row>
    <row r="607">
      <c r="A607" s="1"/>
      <c r="B607" s="78"/>
      <c r="C607" s="78"/>
      <c r="D607" s="78"/>
      <c r="E607" s="78"/>
      <c r="M607" s="79"/>
      <c r="N607" s="79"/>
      <c r="O607" s="79"/>
      <c r="P607" s="79"/>
      <c r="Q607" s="79"/>
      <c r="R607" s="79"/>
    </row>
    <row r="608">
      <c r="A608" s="1"/>
      <c r="B608" s="78"/>
      <c r="C608" s="78"/>
      <c r="D608" s="78"/>
      <c r="E608" s="78"/>
      <c r="M608" s="79"/>
      <c r="N608" s="79"/>
      <c r="O608" s="79"/>
      <c r="P608" s="79"/>
      <c r="Q608" s="79"/>
      <c r="R608" s="79"/>
    </row>
    <row r="609">
      <c r="A609" s="1"/>
      <c r="B609" s="78"/>
      <c r="C609" s="78"/>
      <c r="D609" s="78"/>
      <c r="E609" s="78"/>
      <c r="M609" s="79"/>
      <c r="N609" s="79"/>
      <c r="O609" s="79"/>
      <c r="P609" s="79"/>
      <c r="Q609" s="79"/>
      <c r="R609" s="79"/>
    </row>
    <row r="610">
      <c r="A610" s="1"/>
      <c r="B610" s="78"/>
      <c r="C610" s="78"/>
      <c r="D610" s="78"/>
      <c r="E610" s="78"/>
      <c r="M610" s="79"/>
      <c r="N610" s="79"/>
      <c r="O610" s="79"/>
      <c r="P610" s="79"/>
      <c r="Q610" s="79"/>
      <c r="R610" s="79"/>
    </row>
    <row r="611">
      <c r="A611" s="1"/>
      <c r="B611" s="78"/>
      <c r="C611" s="78"/>
      <c r="D611" s="78"/>
      <c r="E611" s="78"/>
      <c r="M611" s="79"/>
      <c r="N611" s="79"/>
      <c r="O611" s="79"/>
      <c r="P611" s="79"/>
      <c r="Q611" s="79"/>
      <c r="R611" s="79"/>
    </row>
    <row r="612">
      <c r="A612" s="1"/>
      <c r="B612" s="78"/>
      <c r="C612" s="78"/>
      <c r="D612" s="78"/>
      <c r="E612" s="78"/>
      <c r="M612" s="79"/>
      <c r="N612" s="79"/>
      <c r="O612" s="79"/>
      <c r="P612" s="79"/>
      <c r="Q612" s="79"/>
      <c r="R612" s="79"/>
    </row>
    <row r="613">
      <c r="A613" s="1"/>
      <c r="B613" s="78"/>
      <c r="C613" s="78"/>
      <c r="D613" s="78"/>
      <c r="E613" s="78"/>
      <c r="M613" s="79"/>
      <c r="N613" s="79"/>
      <c r="O613" s="79"/>
      <c r="P613" s="79"/>
      <c r="Q613" s="79"/>
      <c r="R613" s="79"/>
    </row>
    <row r="614">
      <c r="A614" s="1"/>
      <c r="B614" s="78"/>
      <c r="C614" s="78"/>
      <c r="D614" s="78"/>
      <c r="E614" s="78"/>
      <c r="M614" s="79"/>
      <c r="N614" s="79"/>
      <c r="O614" s="79"/>
      <c r="P614" s="79"/>
      <c r="Q614" s="79"/>
      <c r="R614" s="79"/>
    </row>
    <row r="615">
      <c r="A615" s="1"/>
      <c r="B615" s="78"/>
      <c r="C615" s="78"/>
      <c r="D615" s="78"/>
      <c r="E615" s="78"/>
      <c r="M615" s="79"/>
      <c r="N615" s="79"/>
      <c r="O615" s="79"/>
      <c r="P615" s="79"/>
      <c r="Q615" s="79"/>
      <c r="R615" s="79"/>
    </row>
    <row r="616">
      <c r="A616" s="1"/>
      <c r="B616" s="78"/>
      <c r="C616" s="78"/>
      <c r="D616" s="78"/>
      <c r="E616" s="78"/>
      <c r="M616" s="79"/>
      <c r="N616" s="79"/>
      <c r="O616" s="79"/>
      <c r="P616" s="79"/>
      <c r="Q616" s="79"/>
      <c r="R616" s="79"/>
    </row>
    <row r="617">
      <c r="A617" s="1"/>
      <c r="B617" s="78"/>
      <c r="C617" s="78"/>
      <c r="D617" s="78"/>
      <c r="E617" s="78"/>
      <c r="M617" s="79"/>
      <c r="N617" s="79"/>
      <c r="O617" s="79"/>
      <c r="P617" s="79"/>
      <c r="Q617" s="79"/>
      <c r="R617" s="79"/>
    </row>
    <row r="618">
      <c r="A618" s="1"/>
      <c r="B618" s="78"/>
      <c r="C618" s="78"/>
      <c r="D618" s="78"/>
      <c r="E618" s="78"/>
      <c r="M618" s="79"/>
      <c r="N618" s="79"/>
      <c r="O618" s="79"/>
      <c r="P618" s="79"/>
      <c r="Q618" s="79"/>
      <c r="R618" s="79"/>
    </row>
    <row r="619">
      <c r="A619" s="1"/>
      <c r="B619" s="78"/>
      <c r="C619" s="78"/>
      <c r="D619" s="78"/>
      <c r="E619" s="78"/>
      <c r="M619" s="79"/>
      <c r="N619" s="79"/>
      <c r="O619" s="79"/>
      <c r="P619" s="79"/>
      <c r="Q619" s="79"/>
      <c r="R619" s="79"/>
    </row>
    <row r="620">
      <c r="A620" s="1"/>
      <c r="B620" s="78"/>
      <c r="C620" s="78"/>
      <c r="D620" s="78"/>
      <c r="E620" s="78"/>
      <c r="M620" s="79"/>
      <c r="N620" s="79"/>
      <c r="O620" s="79"/>
      <c r="P620" s="79"/>
      <c r="Q620" s="79"/>
      <c r="R620" s="79"/>
    </row>
    <row r="621">
      <c r="A621" s="1"/>
      <c r="B621" s="78"/>
      <c r="C621" s="78"/>
      <c r="D621" s="78"/>
      <c r="E621" s="78"/>
      <c r="M621" s="79"/>
      <c r="N621" s="79"/>
      <c r="O621" s="79"/>
      <c r="P621" s="79"/>
      <c r="Q621" s="79"/>
      <c r="R621" s="79"/>
    </row>
    <row r="622">
      <c r="A622" s="1"/>
      <c r="B622" s="78"/>
      <c r="C622" s="78"/>
      <c r="D622" s="78"/>
      <c r="E622" s="78"/>
      <c r="M622" s="79"/>
      <c r="N622" s="79"/>
      <c r="O622" s="79"/>
      <c r="P622" s="79"/>
      <c r="Q622" s="79"/>
      <c r="R622" s="79"/>
    </row>
    <row r="623">
      <c r="A623" s="1"/>
      <c r="B623" s="78"/>
      <c r="C623" s="78"/>
      <c r="D623" s="78"/>
      <c r="E623" s="78"/>
      <c r="M623" s="79"/>
      <c r="N623" s="79"/>
      <c r="O623" s="79"/>
      <c r="P623" s="79"/>
      <c r="Q623" s="79"/>
      <c r="R623" s="79"/>
    </row>
    <row r="624">
      <c r="A624" s="1"/>
      <c r="B624" s="78"/>
      <c r="C624" s="78"/>
      <c r="D624" s="78"/>
      <c r="E624" s="78"/>
      <c r="M624" s="79"/>
      <c r="N624" s="79"/>
      <c r="O624" s="79"/>
      <c r="P624" s="79"/>
      <c r="Q624" s="79"/>
      <c r="R624" s="79"/>
    </row>
    <row r="625">
      <c r="A625" s="1"/>
      <c r="B625" s="78"/>
      <c r="C625" s="78"/>
      <c r="D625" s="78"/>
      <c r="E625" s="78"/>
      <c r="M625" s="79"/>
      <c r="N625" s="79"/>
      <c r="O625" s="79"/>
      <c r="P625" s="79"/>
      <c r="Q625" s="79"/>
      <c r="R625" s="79"/>
    </row>
    <row r="626">
      <c r="A626" s="1"/>
      <c r="B626" s="78"/>
      <c r="C626" s="78"/>
      <c r="D626" s="78"/>
      <c r="E626" s="78"/>
      <c r="M626" s="79"/>
      <c r="N626" s="79"/>
      <c r="O626" s="79"/>
      <c r="P626" s="79"/>
      <c r="Q626" s="79"/>
      <c r="R626" s="79"/>
    </row>
    <row r="627">
      <c r="A627" s="1"/>
      <c r="B627" s="78"/>
      <c r="C627" s="78"/>
      <c r="D627" s="78"/>
      <c r="E627" s="78"/>
      <c r="M627" s="79"/>
      <c r="N627" s="79"/>
      <c r="O627" s="79"/>
      <c r="P627" s="79"/>
      <c r="Q627" s="79"/>
      <c r="R627" s="79"/>
    </row>
    <row r="628">
      <c r="A628" s="1"/>
      <c r="B628" s="78"/>
      <c r="C628" s="78"/>
      <c r="D628" s="78"/>
      <c r="E628" s="78"/>
      <c r="M628" s="79"/>
      <c r="N628" s="79"/>
      <c r="O628" s="79"/>
      <c r="P628" s="79"/>
      <c r="Q628" s="79"/>
      <c r="R628" s="79"/>
    </row>
    <row r="629">
      <c r="A629" s="1"/>
      <c r="B629" s="78"/>
      <c r="C629" s="78"/>
      <c r="D629" s="78"/>
      <c r="E629" s="78"/>
      <c r="M629" s="79"/>
      <c r="N629" s="79"/>
      <c r="O629" s="79"/>
      <c r="P629" s="79"/>
      <c r="Q629" s="79"/>
      <c r="R629" s="79"/>
    </row>
    <row r="630">
      <c r="A630" s="1"/>
      <c r="B630" s="78"/>
      <c r="C630" s="78"/>
      <c r="D630" s="78"/>
      <c r="E630" s="78"/>
      <c r="M630" s="79"/>
      <c r="N630" s="79"/>
      <c r="O630" s="79"/>
      <c r="P630" s="79"/>
      <c r="Q630" s="79"/>
      <c r="R630" s="79"/>
    </row>
    <row r="631">
      <c r="A631" s="1"/>
      <c r="B631" s="78"/>
      <c r="C631" s="78"/>
      <c r="D631" s="78"/>
      <c r="E631" s="78"/>
      <c r="M631" s="79"/>
      <c r="N631" s="79"/>
      <c r="O631" s="79"/>
      <c r="P631" s="79"/>
      <c r="Q631" s="79"/>
      <c r="R631" s="79"/>
    </row>
    <row r="632">
      <c r="A632" s="1"/>
      <c r="B632" s="78"/>
      <c r="C632" s="78"/>
      <c r="D632" s="78"/>
      <c r="E632" s="78"/>
      <c r="M632" s="79"/>
      <c r="N632" s="79"/>
      <c r="O632" s="79"/>
      <c r="P632" s="79"/>
      <c r="Q632" s="79"/>
      <c r="R632" s="79"/>
    </row>
    <row r="633">
      <c r="A633" s="1"/>
      <c r="B633" s="78"/>
      <c r="C633" s="78"/>
      <c r="D633" s="78"/>
      <c r="E633" s="78"/>
      <c r="M633" s="79"/>
      <c r="N633" s="79"/>
      <c r="O633" s="79"/>
      <c r="P633" s="79"/>
      <c r="Q633" s="79"/>
      <c r="R633" s="79"/>
    </row>
    <row r="634">
      <c r="A634" s="1"/>
      <c r="B634" s="78"/>
      <c r="C634" s="78"/>
      <c r="D634" s="78"/>
      <c r="E634" s="78"/>
      <c r="M634" s="79"/>
      <c r="N634" s="79"/>
      <c r="O634" s="79"/>
      <c r="P634" s="79"/>
      <c r="Q634" s="79"/>
      <c r="R634" s="79"/>
    </row>
    <row r="635">
      <c r="A635" s="1"/>
      <c r="B635" s="78"/>
      <c r="C635" s="78"/>
      <c r="D635" s="78"/>
      <c r="E635" s="78"/>
      <c r="M635" s="79"/>
      <c r="N635" s="79"/>
      <c r="O635" s="79"/>
      <c r="P635" s="79"/>
      <c r="Q635" s="79"/>
      <c r="R635" s="79"/>
    </row>
    <row r="636">
      <c r="A636" s="1"/>
      <c r="B636" s="78"/>
      <c r="C636" s="78"/>
      <c r="D636" s="78"/>
      <c r="E636" s="78"/>
      <c r="M636" s="79"/>
      <c r="N636" s="79"/>
      <c r="O636" s="79"/>
      <c r="P636" s="79"/>
      <c r="Q636" s="79"/>
      <c r="R636" s="79"/>
    </row>
    <row r="637">
      <c r="A637" s="1"/>
      <c r="B637" s="78"/>
      <c r="C637" s="78"/>
      <c r="D637" s="78"/>
      <c r="E637" s="78"/>
      <c r="M637" s="79"/>
      <c r="N637" s="79"/>
      <c r="O637" s="79"/>
      <c r="P637" s="79"/>
      <c r="Q637" s="79"/>
      <c r="R637" s="79"/>
    </row>
    <row r="638">
      <c r="A638" s="1"/>
      <c r="B638" s="78"/>
      <c r="C638" s="78"/>
      <c r="D638" s="78"/>
      <c r="E638" s="78"/>
      <c r="M638" s="79"/>
      <c r="N638" s="79"/>
      <c r="O638" s="79"/>
      <c r="P638" s="79"/>
      <c r="Q638" s="79"/>
      <c r="R638" s="79"/>
    </row>
    <row r="639">
      <c r="A639" s="1"/>
      <c r="B639" s="78"/>
      <c r="C639" s="78"/>
      <c r="D639" s="78"/>
      <c r="E639" s="78"/>
      <c r="M639" s="79"/>
      <c r="N639" s="79"/>
      <c r="O639" s="79"/>
      <c r="P639" s="79"/>
      <c r="Q639" s="79"/>
      <c r="R639" s="79"/>
    </row>
    <row r="640">
      <c r="A640" s="1"/>
      <c r="B640" s="78"/>
      <c r="C640" s="78"/>
      <c r="D640" s="78"/>
      <c r="E640" s="78"/>
      <c r="M640" s="79"/>
      <c r="N640" s="79"/>
      <c r="O640" s="79"/>
      <c r="P640" s="79"/>
      <c r="Q640" s="79"/>
      <c r="R640" s="79"/>
    </row>
    <row r="641">
      <c r="A641" s="1"/>
      <c r="B641" s="78"/>
      <c r="C641" s="78"/>
      <c r="D641" s="78"/>
      <c r="E641" s="78"/>
      <c r="M641" s="79"/>
      <c r="N641" s="79"/>
      <c r="O641" s="79"/>
      <c r="P641" s="79"/>
      <c r="Q641" s="79"/>
      <c r="R641" s="79"/>
    </row>
    <row r="642">
      <c r="A642" s="1"/>
      <c r="B642" s="78"/>
      <c r="C642" s="78"/>
      <c r="D642" s="78"/>
      <c r="E642" s="78"/>
      <c r="M642" s="79"/>
      <c r="N642" s="79"/>
      <c r="O642" s="79"/>
      <c r="P642" s="79"/>
      <c r="Q642" s="79"/>
      <c r="R642" s="79"/>
    </row>
    <row r="643">
      <c r="A643" s="1"/>
      <c r="B643" s="78"/>
      <c r="C643" s="78"/>
      <c r="D643" s="78"/>
      <c r="E643" s="78"/>
      <c r="M643" s="79"/>
      <c r="N643" s="79"/>
      <c r="O643" s="79"/>
      <c r="P643" s="79"/>
      <c r="Q643" s="79"/>
      <c r="R643" s="79"/>
    </row>
    <row r="644">
      <c r="A644" s="1"/>
      <c r="B644" s="78"/>
      <c r="C644" s="78"/>
      <c r="D644" s="78"/>
      <c r="E644" s="78"/>
      <c r="M644" s="79"/>
      <c r="N644" s="79"/>
      <c r="O644" s="79"/>
      <c r="P644" s="79"/>
      <c r="Q644" s="79"/>
      <c r="R644" s="79"/>
    </row>
    <row r="645">
      <c r="A645" s="1"/>
      <c r="B645" s="78"/>
      <c r="C645" s="78"/>
      <c r="D645" s="78"/>
      <c r="E645" s="78"/>
      <c r="M645" s="79"/>
      <c r="N645" s="79"/>
      <c r="O645" s="79"/>
      <c r="P645" s="79"/>
      <c r="Q645" s="79"/>
      <c r="R645" s="79"/>
    </row>
    <row r="646">
      <c r="A646" s="1"/>
      <c r="B646" s="78"/>
      <c r="C646" s="78"/>
      <c r="D646" s="78"/>
      <c r="E646" s="78"/>
      <c r="M646" s="79"/>
      <c r="N646" s="79"/>
      <c r="O646" s="79"/>
      <c r="P646" s="79"/>
      <c r="Q646" s="79"/>
      <c r="R646" s="79"/>
    </row>
    <row r="647">
      <c r="A647" s="1"/>
      <c r="B647" s="78"/>
      <c r="C647" s="78"/>
      <c r="D647" s="78"/>
      <c r="E647" s="78"/>
      <c r="M647" s="79"/>
      <c r="N647" s="79"/>
      <c r="O647" s="79"/>
      <c r="P647" s="79"/>
      <c r="Q647" s="79"/>
      <c r="R647" s="79"/>
    </row>
    <row r="648">
      <c r="A648" s="1"/>
      <c r="B648" s="78"/>
      <c r="C648" s="78"/>
      <c r="D648" s="78"/>
      <c r="E648" s="78"/>
      <c r="M648" s="79"/>
      <c r="N648" s="79"/>
      <c r="O648" s="79"/>
      <c r="P648" s="79"/>
      <c r="Q648" s="79"/>
      <c r="R648" s="79"/>
    </row>
    <row r="649">
      <c r="A649" s="1"/>
      <c r="B649" s="78"/>
      <c r="C649" s="78"/>
      <c r="D649" s="78"/>
      <c r="E649" s="78"/>
      <c r="M649" s="79"/>
      <c r="N649" s="79"/>
      <c r="O649" s="79"/>
      <c r="P649" s="79"/>
      <c r="Q649" s="79"/>
      <c r="R649" s="79"/>
    </row>
    <row r="650">
      <c r="A650" s="1"/>
      <c r="B650" s="78"/>
      <c r="C650" s="78"/>
      <c r="D650" s="78"/>
      <c r="E650" s="78"/>
      <c r="M650" s="79"/>
      <c r="N650" s="79"/>
      <c r="O650" s="79"/>
      <c r="P650" s="79"/>
      <c r="Q650" s="79"/>
      <c r="R650" s="79"/>
    </row>
    <row r="651">
      <c r="A651" s="1"/>
      <c r="B651" s="78"/>
      <c r="C651" s="78"/>
      <c r="D651" s="78"/>
      <c r="E651" s="78"/>
      <c r="M651" s="79"/>
      <c r="N651" s="79"/>
      <c r="O651" s="79"/>
      <c r="P651" s="79"/>
      <c r="Q651" s="79"/>
      <c r="R651" s="79"/>
    </row>
    <row r="652">
      <c r="A652" s="1"/>
      <c r="B652" s="78"/>
      <c r="C652" s="78"/>
      <c r="D652" s="78"/>
      <c r="E652" s="78"/>
      <c r="M652" s="79"/>
      <c r="N652" s="79"/>
      <c r="O652" s="79"/>
      <c r="P652" s="79"/>
      <c r="Q652" s="79"/>
      <c r="R652" s="79"/>
    </row>
    <row r="653">
      <c r="A653" s="1"/>
      <c r="B653" s="78"/>
      <c r="C653" s="78"/>
      <c r="D653" s="78"/>
      <c r="E653" s="78"/>
      <c r="M653" s="79"/>
      <c r="N653" s="79"/>
      <c r="O653" s="79"/>
      <c r="P653" s="79"/>
      <c r="Q653" s="79"/>
      <c r="R653" s="79"/>
    </row>
    <row r="654">
      <c r="A654" s="1"/>
      <c r="B654" s="78"/>
      <c r="C654" s="78"/>
      <c r="D654" s="78"/>
      <c r="E654" s="78"/>
      <c r="M654" s="79"/>
      <c r="N654" s="79"/>
      <c r="O654" s="79"/>
      <c r="P654" s="79"/>
      <c r="Q654" s="79"/>
      <c r="R654" s="79"/>
    </row>
    <row r="655">
      <c r="A655" s="1"/>
      <c r="B655" s="78"/>
      <c r="C655" s="78"/>
      <c r="D655" s="78"/>
      <c r="E655" s="78"/>
      <c r="M655" s="79"/>
      <c r="N655" s="79"/>
      <c r="O655" s="79"/>
      <c r="P655" s="79"/>
      <c r="Q655" s="79"/>
      <c r="R655" s="79"/>
    </row>
    <row r="656">
      <c r="A656" s="1"/>
      <c r="B656" s="78"/>
      <c r="C656" s="78"/>
      <c r="D656" s="78"/>
      <c r="E656" s="78"/>
      <c r="M656" s="79"/>
      <c r="N656" s="79"/>
      <c r="O656" s="79"/>
      <c r="P656" s="79"/>
      <c r="Q656" s="79"/>
      <c r="R656" s="79"/>
    </row>
    <row r="657">
      <c r="A657" s="1"/>
      <c r="B657" s="78"/>
      <c r="C657" s="78"/>
      <c r="D657" s="78"/>
      <c r="E657" s="78"/>
      <c r="M657" s="79"/>
      <c r="N657" s="79"/>
      <c r="O657" s="79"/>
      <c r="P657" s="79"/>
      <c r="Q657" s="79"/>
      <c r="R657" s="79"/>
    </row>
    <row r="658">
      <c r="A658" s="1"/>
      <c r="B658" s="78"/>
      <c r="C658" s="78"/>
      <c r="D658" s="78"/>
      <c r="E658" s="78"/>
      <c r="M658" s="79"/>
      <c r="N658" s="79"/>
      <c r="O658" s="79"/>
      <c r="P658" s="79"/>
      <c r="Q658" s="79"/>
      <c r="R658" s="79"/>
    </row>
    <row r="659">
      <c r="A659" s="1"/>
      <c r="B659" s="78"/>
      <c r="C659" s="78"/>
      <c r="D659" s="78"/>
      <c r="E659" s="78"/>
      <c r="M659" s="79"/>
      <c r="N659" s="79"/>
      <c r="O659" s="79"/>
      <c r="P659" s="79"/>
      <c r="Q659" s="79"/>
      <c r="R659" s="79"/>
    </row>
    <row r="660">
      <c r="A660" s="1"/>
      <c r="B660" s="78"/>
      <c r="C660" s="78"/>
      <c r="D660" s="78"/>
      <c r="E660" s="78"/>
      <c r="M660" s="79"/>
      <c r="N660" s="79"/>
      <c r="O660" s="79"/>
      <c r="P660" s="79"/>
      <c r="Q660" s="79"/>
      <c r="R660" s="79"/>
    </row>
    <row r="661">
      <c r="A661" s="1"/>
      <c r="B661" s="78"/>
      <c r="C661" s="78"/>
      <c r="D661" s="78"/>
      <c r="E661" s="78"/>
      <c r="M661" s="79"/>
      <c r="N661" s="79"/>
      <c r="O661" s="79"/>
      <c r="P661" s="79"/>
      <c r="Q661" s="79"/>
      <c r="R661" s="79"/>
    </row>
    <row r="662">
      <c r="A662" s="1"/>
      <c r="B662" s="78"/>
      <c r="C662" s="78"/>
      <c r="D662" s="78"/>
      <c r="E662" s="78"/>
      <c r="M662" s="79"/>
      <c r="N662" s="79"/>
      <c r="O662" s="79"/>
      <c r="P662" s="79"/>
      <c r="Q662" s="79"/>
      <c r="R662" s="79"/>
    </row>
    <row r="663">
      <c r="A663" s="1"/>
      <c r="B663" s="78"/>
      <c r="C663" s="78"/>
      <c r="D663" s="78"/>
      <c r="E663" s="78"/>
      <c r="M663" s="79"/>
      <c r="N663" s="79"/>
      <c r="O663" s="79"/>
      <c r="P663" s="79"/>
      <c r="Q663" s="79"/>
      <c r="R663" s="79"/>
    </row>
    <row r="664">
      <c r="A664" s="1"/>
      <c r="B664" s="78"/>
      <c r="C664" s="78"/>
      <c r="D664" s="78"/>
      <c r="E664" s="78"/>
      <c r="M664" s="79"/>
      <c r="N664" s="79"/>
      <c r="O664" s="79"/>
      <c r="P664" s="79"/>
      <c r="Q664" s="79"/>
      <c r="R664" s="79"/>
    </row>
    <row r="665">
      <c r="A665" s="1"/>
      <c r="B665" s="78"/>
      <c r="C665" s="78"/>
      <c r="D665" s="78"/>
      <c r="E665" s="78"/>
      <c r="M665" s="79"/>
      <c r="N665" s="79"/>
      <c r="O665" s="79"/>
      <c r="P665" s="79"/>
      <c r="Q665" s="79"/>
      <c r="R665" s="79"/>
    </row>
    <row r="666">
      <c r="A666" s="1"/>
      <c r="B666" s="78"/>
      <c r="C666" s="78"/>
      <c r="D666" s="78"/>
      <c r="E666" s="78"/>
      <c r="M666" s="79"/>
      <c r="N666" s="79"/>
      <c r="O666" s="79"/>
      <c r="P666" s="79"/>
      <c r="Q666" s="79"/>
      <c r="R666" s="79"/>
    </row>
    <row r="667">
      <c r="A667" s="1"/>
      <c r="B667" s="78"/>
      <c r="C667" s="78"/>
      <c r="D667" s="78"/>
      <c r="E667" s="78"/>
      <c r="M667" s="79"/>
      <c r="N667" s="79"/>
      <c r="O667" s="79"/>
      <c r="P667" s="79"/>
      <c r="Q667" s="79"/>
      <c r="R667" s="79"/>
    </row>
    <row r="668">
      <c r="A668" s="1"/>
      <c r="B668" s="78"/>
      <c r="C668" s="78"/>
      <c r="D668" s="78"/>
      <c r="E668" s="78"/>
      <c r="M668" s="79"/>
      <c r="N668" s="79"/>
      <c r="O668" s="79"/>
      <c r="P668" s="79"/>
      <c r="Q668" s="79"/>
      <c r="R668" s="79"/>
    </row>
    <row r="669">
      <c r="A669" s="1"/>
      <c r="B669" s="78"/>
      <c r="C669" s="78"/>
      <c r="D669" s="78"/>
      <c r="E669" s="78"/>
      <c r="M669" s="79"/>
      <c r="N669" s="79"/>
      <c r="O669" s="79"/>
      <c r="P669" s="79"/>
      <c r="Q669" s="79"/>
      <c r="R669" s="79"/>
    </row>
    <row r="670">
      <c r="A670" s="1"/>
      <c r="B670" s="78"/>
      <c r="C670" s="78"/>
      <c r="D670" s="78"/>
      <c r="E670" s="78"/>
      <c r="M670" s="79"/>
      <c r="N670" s="79"/>
      <c r="O670" s="79"/>
      <c r="P670" s="79"/>
      <c r="Q670" s="79"/>
      <c r="R670" s="79"/>
    </row>
    <row r="671">
      <c r="A671" s="1"/>
      <c r="B671" s="78"/>
      <c r="C671" s="78"/>
      <c r="D671" s="78"/>
      <c r="E671" s="78"/>
      <c r="M671" s="79"/>
      <c r="N671" s="79"/>
      <c r="O671" s="79"/>
      <c r="P671" s="79"/>
      <c r="Q671" s="79"/>
      <c r="R671" s="79"/>
    </row>
    <row r="672">
      <c r="A672" s="1"/>
      <c r="B672" s="78"/>
      <c r="C672" s="78"/>
      <c r="D672" s="78"/>
      <c r="E672" s="78"/>
      <c r="M672" s="79"/>
      <c r="N672" s="79"/>
      <c r="O672" s="79"/>
      <c r="P672" s="79"/>
      <c r="Q672" s="79"/>
      <c r="R672" s="79"/>
    </row>
    <row r="673">
      <c r="A673" s="1"/>
      <c r="B673" s="78"/>
      <c r="C673" s="78"/>
      <c r="D673" s="78"/>
      <c r="E673" s="78"/>
      <c r="M673" s="79"/>
      <c r="N673" s="79"/>
      <c r="O673" s="79"/>
      <c r="P673" s="79"/>
      <c r="Q673" s="79"/>
      <c r="R673" s="79"/>
    </row>
    <row r="674">
      <c r="A674" s="1"/>
      <c r="B674" s="78"/>
      <c r="C674" s="78"/>
      <c r="D674" s="78"/>
      <c r="E674" s="78"/>
      <c r="M674" s="79"/>
      <c r="N674" s="79"/>
      <c r="O674" s="79"/>
      <c r="P674" s="79"/>
      <c r="Q674" s="79"/>
      <c r="R674" s="79"/>
    </row>
    <row r="675">
      <c r="A675" s="1"/>
      <c r="B675" s="78"/>
      <c r="C675" s="78"/>
      <c r="D675" s="78"/>
      <c r="E675" s="78"/>
      <c r="M675" s="79"/>
      <c r="N675" s="79"/>
      <c r="O675" s="79"/>
      <c r="P675" s="79"/>
      <c r="Q675" s="79"/>
      <c r="R675" s="79"/>
    </row>
    <row r="676">
      <c r="A676" s="1"/>
      <c r="B676" s="78"/>
      <c r="C676" s="78"/>
      <c r="D676" s="78"/>
      <c r="E676" s="78"/>
      <c r="M676" s="79"/>
      <c r="N676" s="79"/>
      <c r="O676" s="79"/>
      <c r="P676" s="79"/>
      <c r="Q676" s="79"/>
      <c r="R676" s="79"/>
    </row>
    <row r="677">
      <c r="A677" s="1"/>
      <c r="B677" s="78"/>
      <c r="C677" s="78"/>
      <c r="D677" s="78"/>
      <c r="E677" s="78"/>
      <c r="M677" s="79"/>
      <c r="N677" s="79"/>
      <c r="O677" s="79"/>
      <c r="P677" s="79"/>
      <c r="Q677" s="79"/>
      <c r="R677" s="79"/>
    </row>
    <row r="678">
      <c r="A678" s="1"/>
      <c r="B678" s="78"/>
      <c r="C678" s="78"/>
      <c r="D678" s="78"/>
      <c r="E678" s="78"/>
      <c r="M678" s="79"/>
      <c r="N678" s="79"/>
      <c r="O678" s="79"/>
      <c r="P678" s="79"/>
      <c r="Q678" s="79"/>
      <c r="R678" s="79"/>
    </row>
    <row r="679">
      <c r="A679" s="1"/>
      <c r="B679" s="78"/>
      <c r="C679" s="78"/>
      <c r="D679" s="78"/>
      <c r="E679" s="78"/>
      <c r="M679" s="79"/>
      <c r="N679" s="79"/>
      <c r="O679" s="79"/>
      <c r="P679" s="79"/>
      <c r="Q679" s="79"/>
      <c r="R679" s="79"/>
    </row>
    <row r="680">
      <c r="A680" s="1"/>
      <c r="B680" s="78"/>
      <c r="C680" s="78"/>
      <c r="D680" s="78"/>
      <c r="E680" s="78"/>
      <c r="M680" s="79"/>
      <c r="N680" s="79"/>
      <c r="O680" s="79"/>
      <c r="P680" s="79"/>
      <c r="Q680" s="79"/>
      <c r="R680" s="79"/>
    </row>
    <row r="681">
      <c r="A681" s="1"/>
      <c r="B681" s="78"/>
      <c r="C681" s="78"/>
      <c r="D681" s="78"/>
      <c r="E681" s="78"/>
      <c r="M681" s="79"/>
      <c r="N681" s="79"/>
      <c r="O681" s="79"/>
      <c r="P681" s="79"/>
      <c r="Q681" s="79"/>
      <c r="R681" s="79"/>
    </row>
    <row r="682">
      <c r="A682" s="1"/>
      <c r="B682" s="78"/>
      <c r="C682" s="78"/>
      <c r="D682" s="78"/>
      <c r="E682" s="78"/>
      <c r="M682" s="79"/>
      <c r="N682" s="79"/>
      <c r="O682" s="79"/>
      <c r="P682" s="79"/>
      <c r="Q682" s="79"/>
      <c r="R682" s="79"/>
    </row>
    <row r="683">
      <c r="A683" s="1"/>
      <c r="B683" s="78"/>
      <c r="C683" s="78"/>
      <c r="D683" s="78"/>
      <c r="E683" s="78"/>
      <c r="M683" s="79"/>
      <c r="N683" s="79"/>
      <c r="O683" s="79"/>
      <c r="P683" s="79"/>
      <c r="Q683" s="79"/>
      <c r="R683" s="79"/>
    </row>
    <row r="684">
      <c r="A684" s="1"/>
      <c r="B684" s="78"/>
      <c r="C684" s="78"/>
      <c r="D684" s="78"/>
      <c r="E684" s="78"/>
      <c r="M684" s="79"/>
      <c r="N684" s="79"/>
      <c r="O684" s="79"/>
      <c r="P684" s="79"/>
      <c r="Q684" s="79"/>
      <c r="R684" s="79"/>
    </row>
    <row r="685">
      <c r="A685" s="1"/>
      <c r="B685" s="78"/>
      <c r="C685" s="78"/>
      <c r="D685" s="78"/>
      <c r="E685" s="78"/>
      <c r="M685" s="79"/>
      <c r="N685" s="79"/>
      <c r="O685" s="79"/>
      <c r="P685" s="79"/>
      <c r="Q685" s="79"/>
      <c r="R685" s="79"/>
    </row>
    <row r="686">
      <c r="A686" s="1"/>
      <c r="B686" s="78"/>
      <c r="C686" s="78"/>
      <c r="D686" s="78"/>
      <c r="E686" s="78"/>
      <c r="M686" s="79"/>
      <c r="N686" s="79"/>
      <c r="O686" s="79"/>
      <c r="P686" s="79"/>
      <c r="Q686" s="79"/>
      <c r="R686" s="79"/>
    </row>
    <row r="687">
      <c r="A687" s="1"/>
      <c r="B687" s="78"/>
      <c r="C687" s="78"/>
      <c r="D687" s="78"/>
      <c r="E687" s="78"/>
      <c r="M687" s="79"/>
      <c r="N687" s="79"/>
      <c r="O687" s="79"/>
      <c r="P687" s="79"/>
      <c r="Q687" s="79"/>
      <c r="R687" s="79"/>
    </row>
    <row r="688">
      <c r="A688" s="1"/>
      <c r="B688" s="78"/>
      <c r="C688" s="78"/>
      <c r="D688" s="78"/>
      <c r="E688" s="78"/>
      <c r="M688" s="79"/>
      <c r="N688" s="79"/>
      <c r="O688" s="79"/>
      <c r="P688" s="79"/>
      <c r="Q688" s="79"/>
      <c r="R688" s="79"/>
    </row>
    <row r="689">
      <c r="A689" s="1"/>
      <c r="B689" s="78"/>
      <c r="C689" s="78"/>
      <c r="D689" s="78"/>
      <c r="E689" s="78"/>
      <c r="M689" s="79"/>
      <c r="N689" s="79"/>
      <c r="O689" s="79"/>
      <c r="P689" s="79"/>
      <c r="Q689" s="79"/>
      <c r="R689" s="79"/>
    </row>
    <row r="690">
      <c r="A690" s="1"/>
      <c r="B690" s="78"/>
      <c r="C690" s="78"/>
      <c r="D690" s="78"/>
      <c r="E690" s="78"/>
      <c r="M690" s="79"/>
      <c r="N690" s="79"/>
      <c r="O690" s="79"/>
      <c r="P690" s="79"/>
      <c r="Q690" s="79"/>
      <c r="R690" s="79"/>
    </row>
    <row r="691">
      <c r="A691" s="1"/>
      <c r="B691" s="78"/>
      <c r="C691" s="78"/>
      <c r="D691" s="78"/>
      <c r="E691" s="78"/>
      <c r="M691" s="79"/>
      <c r="N691" s="79"/>
      <c r="O691" s="79"/>
      <c r="P691" s="79"/>
      <c r="Q691" s="79"/>
      <c r="R691" s="79"/>
    </row>
    <row r="692">
      <c r="A692" s="1"/>
      <c r="B692" s="78"/>
      <c r="C692" s="78"/>
      <c r="D692" s="78"/>
      <c r="E692" s="78"/>
      <c r="M692" s="79"/>
      <c r="N692" s="79"/>
      <c r="O692" s="79"/>
      <c r="P692" s="79"/>
      <c r="Q692" s="79"/>
      <c r="R692" s="79"/>
    </row>
    <row r="693">
      <c r="A693" s="1"/>
      <c r="B693" s="78"/>
      <c r="C693" s="78"/>
      <c r="D693" s="78"/>
      <c r="E693" s="78"/>
      <c r="M693" s="79"/>
      <c r="N693" s="79"/>
      <c r="O693" s="79"/>
      <c r="P693" s="79"/>
      <c r="Q693" s="79"/>
      <c r="R693" s="79"/>
    </row>
    <row r="694">
      <c r="A694" s="1"/>
      <c r="B694" s="78"/>
      <c r="C694" s="78"/>
      <c r="D694" s="78"/>
      <c r="E694" s="78"/>
      <c r="M694" s="79"/>
      <c r="N694" s="79"/>
      <c r="O694" s="79"/>
      <c r="P694" s="79"/>
      <c r="Q694" s="79"/>
      <c r="R694" s="79"/>
    </row>
    <row r="695">
      <c r="A695" s="1"/>
      <c r="B695" s="78"/>
      <c r="C695" s="78"/>
      <c r="D695" s="78"/>
      <c r="E695" s="78"/>
      <c r="M695" s="79"/>
      <c r="N695" s="79"/>
      <c r="O695" s="79"/>
      <c r="P695" s="79"/>
      <c r="Q695" s="79"/>
      <c r="R695" s="79"/>
    </row>
    <row r="696">
      <c r="A696" s="1"/>
      <c r="B696" s="78"/>
      <c r="C696" s="78"/>
      <c r="D696" s="78"/>
      <c r="E696" s="78"/>
      <c r="M696" s="79"/>
      <c r="N696" s="79"/>
      <c r="O696" s="79"/>
      <c r="P696" s="79"/>
      <c r="Q696" s="79"/>
      <c r="R696" s="79"/>
    </row>
    <row r="697">
      <c r="A697" s="1"/>
      <c r="B697" s="78"/>
      <c r="C697" s="78"/>
      <c r="D697" s="78"/>
      <c r="E697" s="78"/>
      <c r="M697" s="79"/>
      <c r="N697" s="79"/>
      <c r="O697" s="79"/>
      <c r="P697" s="79"/>
      <c r="Q697" s="79"/>
      <c r="R697" s="79"/>
    </row>
    <row r="698">
      <c r="A698" s="1"/>
      <c r="B698" s="78"/>
      <c r="C698" s="78"/>
      <c r="D698" s="78"/>
      <c r="E698" s="78"/>
      <c r="M698" s="79"/>
      <c r="N698" s="79"/>
      <c r="O698" s="79"/>
      <c r="P698" s="79"/>
      <c r="Q698" s="79"/>
      <c r="R698" s="79"/>
    </row>
    <row r="699">
      <c r="A699" s="1"/>
      <c r="B699" s="78"/>
      <c r="C699" s="78"/>
      <c r="D699" s="78"/>
      <c r="E699" s="78"/>
      <c r="M699" s="79"/>
      <c r="N699" s="79"/>
      <c r="O699" s="79"/>
      <c r="P699" s="79"/>
      <c r="Q699" s="79"/>
      <c r="R699" s="79"/>
    </row>
    <row r="700">
      <c r="A700" s="1"/>
      <c r="B700" s="78"/>
      <c r="C700" s="78"/>
      <c r="D700" s="78"/>
      <c r="E700" s="78"/>
      <c r="M700" s="79"/>
      <c r="N700" s="79"/>
      <c r="O700" s="79"/>
      <c r="P700" s="79"/>
      <c r="Q700" s="79"/>
      <c r="R700" s="79"/>
    </row>
    <row r="701">
      <c r="A701" s="1"/>
      <c r="B701" s="78"/>
      <c r="C701" s="78"/>
      <c r="D701" s="78"/>
      <c r="E701" s="78"/>
      <c r="M701" s="79"/>
      <c r="N701" s="79"/>
      <c r="O701" s="79"/>
      <c r="P701" s="79"/>
      <c r="Q701" s="79"/>
      <c r="R701" s="79"/>
    </row>
    <row r="702">
      <c r="A702" s="1"/>
      <c r="B702" s="78"/>
      <c r="C702" s="78"/>
      <c r="D702" s="78"/>
      <c r="E702" s="78"/>
      <c r="M702" s="79"/>
      <c r="N702" s="79"/>
      <c r="O702" s="79"/>
      <c r="P702" s="79"/>
      <c r="Q702" s="79"/>
      <c r="R702" s="79"/>
    </row>
    <row r="703">
      <c r="A703" s="1"/>
      <c r="B703" s="78"/>
      <c r="C703" s="78"/>
      <c r="D703" s="78"/>
      <c r="E703" s="78"/>
      <c r="M703" s="79"/>
      <c r="N703" s="79"/>
      <c r="O703" s="79"/>
      <c r="P703" s="79"/>
      <c r="Q703" s="79"/>
      <c r="R703" s="79"/>
    </row>
    <row r="704">
      <c r="A704" s="1"/>
      <c r="B704" s="78"/>
      <c r="C704" s="78"/>
      <c r="D704" s="78"/>
      <c r="E704" s="78"/>
      <c r="M704" s="79"/>
      <c r="N704" s="79"/>
      <c r="O704" s="79"/>
      <c r="P704" s="79"/>
      <c r="Q704" s="79"/>
      <c r="R704" s="79"/>
    </row>
    <row r="705">
      <c r="A705" s="1"/>
      <c r="B705" s="78"/>
      <c r="C705" s="78"/>
      <c r="D705" s="78"/>
      <c r="E705" s="78"/>
      <c r="M705" s="79"/>
      <c r="N705" s="79"/>
      <c r="O705" s="79"/>
      <c r="P705" s="79"/>
      <c r="Q705" s="79"/>
      <c r="R705" s="79"/>
    </row>
    <row r="706">
      <c r="A706" s="1"/>
      <c r="B706" s="78"/>
      <c r="C706" s="78"/>
      <c r="D706" s="78"/>
      <c r="E706" s="78"/>
      <c r="M706" s="79"/>
      <c r="N706" s="79"/>
      <c r="O706" s="79"/>
      <c r="P706" s="79"/>
      <c r="Q706" s="79"/>
      <c r="R706" s="79"/>
    </row>
    <row r="707">
      <c r="A707" s="1"/>
      <c r="B707" s="78"/>
      <c r="C707" s="78"/>
      <c r="D707" s="78"/>
      <c r="E707" s="78"/>
      <c r="M707" s="79"/>
      <c r="N707" s="79"/>
      <c r="O707" s="79"/>
      <c r="P707" s="79"/>
      <c r="Q707" s="79"/>
      <c r="R707" s="79"/>
    </row>
    <row r="708">
      <c r="A708" s="1"/>
      <c r="B708" s="78"/>
      <c r="C708" s="78"/>
      <c r="D708" s="78"/>
      <c r="E708" s="78"/>
      <c r="M708" s="79"/>
      <c r="N708" s="79"/>
      <c r="O708" s="79"/>
      <c r="P708" s="79"/>
      <c r="Q708" s="79"/>
      <c r="R708" s="79"/>
    </row>
    <row r="709">
      <c r="A709" s="1"/>
      <c r="B709" s="78"/>
      <c r="C709" s="78"/>
      <c r="D709" s="78"/>
      <c r="E709" s="78"/>
      <c r="M709" s="79"/>
      <c r="N709" s="79"/>
      <c r="O709" s="79"/>
      <c r="P709" s="79"/>
      <c r="Q709" s="79"/>
      <c r="R709" s="79"/>
    </row>
    <row r="710">
      <c r="A710" s="1"/>
      <c r="B710" s="78"/>
      <c r="C710" s="78"/>
      <c r="D710" s="78"/>
      <c r="E710" s="78"/>
      <c r="M710" s="79"/>
      <c r="N710" s="79"/>
      <c r="O710" s="79"/>
      <c r="P710" s="79"/>
      <c r="Q710" s="79"/>
      <c r="R710" s="79"/>
    </row>
    <row r="711">
      <c r="A711" s="1"/>
      <c r="B711" s="78"/>
      <c r="C711" s="78"/>
      <c r="D711" s="78"/>
      <c r="E711" s="78"/>
      <c r="M711" s="79"/>
      <c r="N711" s="79"/>
      <c r="O711" s="79"/>
      <c r="P711" s="79"/>
      <c r="Q711" s="79"/>
      <c r="R711" s="79"/>
    </row>
    <row r="712">
      <c r="A712" s="1"/>
      <c r="B712" s="78"/>
      <c r="C712" s="78"/>
      <c r="D712" s="78"/>
      <c r="E712" s="78"/>
      <c r="M712" s="79"/>
      <c r="N712" s="79"/>
      <c r="O712" s="79"/>
      <c r="P712" s="79"/>
      <c r="Q712" s="79"/>
      <c r="R712" s="79"/>
    </row>
    <row r="713">
      <c r="A713" s="1"/>
      <c r="B713" s="78"/>
      <c r="C713" s="78"/>
      <c r="D713" s="78"/>
      <c r="E713" s="78"/>
      <c r="M713" s="79"/>
      <c r="N713" s="79"/>
      <c r="O713" s="79"/>
      <c r="P713" s="79"/>
      <c r="Q713" s="79"/>
      <c r="R713" s="79"/>
    </row>
    <row r="714">
      <c r="A714" s="1"/>
      <c r="B714" s="78"/>
      <c r="C714" s="78"/>
      <c r="D714" s="78"/>
      <c r="E714" s="78"/>
      <c r="M714" s="79"/>
      <c r="N714" s="79"/>
      <c r="O714" s="79"/>
      <c r="P714" s="79"/>
      <c r="Q714" s="79"/>
      <c r="R714" s="79"/>
    </row>
    <row r="715">
      <c r="A715" s="1"/>
      <c r="B715" s="78"/>
      <c r="C715" s="78"/>
      <c r="D715" s="78"/>
      <c r="E715" s="78"/>
      <c r="M715" s="79"/>
      <c r="N715" s="79"/>
      <c r="O715" s="79"/>
      <c r="P715" s="79"/>
      <c r="Q715" s="79"/>
      <c r="R715" s="79"/>
    </row>
    <row r="716">
      <c r="A716" s="1"/>
      <c r="B716" s="78"/>
      <c r="C716" s="78"/>
      <c r="D716" s="78"/>
      <c r="E716" s="78"/>
      <c r="M716" s="79"/>
      <c r="N716" s="79"/>
      <c r="O716" s="79"/>
      <c r="P716" s="79"/>
      <c r="Q716" s="79"/>
      <c r="R716" s="79"/>
    </row>
    <row r="717">
      <c r="A717" s="1"/>
      <c r="B717" s="78"/>
      <c r="C717" s="78"/>
      <c r="D717" s="78"/>
      <c r="E717" s="78"/>
      <c r="M717" s="79"/>
      <c r="N717" s="79"/>
      <c r="O717" s="79"/>
      <c r="P717" s="79"/>
      <c r="Q717" s="79"/>
      <c r="R717" s="79"/>
    </row>
    <row r="718">
      <c r="A718" s="1"/>
      <c r="B718" s="78"/>
      <c r="C718" s="78"/>
      <c r="D718" s="78"/>
      <c r="E718" s="78"/>
      <c r="M718" s="79"/>
      <c r="N718" s="79"/>
      <c r="O718" s="79"/>
      <c r="P718" s="79"/>
      <c r="Q718" s="79"/>
      <c r="R718" s="79"/>
    </row>
    <row r="719">
      <c r="A719" s="1"/>
      <c r="B719" s="78"/>
      <c r="C719" s="78"/>
      <c r="D719" s="78"/>
      <c r="E719" s="78"/>
      <c r="M719" s="79"/>
      <c r="N719" s="79"/>
      <c r="O719" s="79"/>
      <c r="P719" s="79"/>
      <c r="Q719" s="79"/>
      <c r="R719" s="79"/>
    </row>
    <row r="720">
      <c r="A720" s="1"/>
      <c r="B720" s="78"/>
      <c r="C720" s="78"/>
      <c r="D720" s="78"/>
      <c r="E720" s="78"/>
      <c r="M720" s="79"/>
      <c r="N720" s="79"/>
      <c r="O720" s="79"/>
      <c r="P720" s="79"/>
      <c r="Q720" s="79"/>
      <c r="R720" s="79"/>
    </row>
    <row r="721">
      <c r="A721" s="1"/>
      <c r="B721" s="78"/>
      <c r="C721" s="78"/>
      <c r="D721" s="78"/>
      <c r="E721" s="78"/>
      <c r="M721" s="79"/>
      <c r="N721" s="79"/>
      <c r="O721" s="79"/>
      <c r="P721" s="79"/>
      <c r="Q721" s="79"/>
      <c r="R721" s="79"/>
    </row>
    <row r="722">
      <c r="A722" s="1"/>
      <c r="B722" s="78"/>
      <c r="C722" s="78"/>
      <c r="D722" s="78"/>
      <c r="E722" s="78"/>
      <c r="M722" s="79"/>
      <c r="N722" s="79"/>
      <c r="O722" s="79"/>
      <c r="P722" s="79"/>
      <c r="Q722" s="79"/>
      <c r="R722" s="79"/>
    </row>
    <row r="723">
      <c r="A723" s="1"/>
      <c r="B723" s="78"/>
      <c r="C723" s="78"/>
      <c r="D723" s="78"/>
      <c r="E723" s="78"/>
      <c r="M723" s="79"/>
      <c r="N723" s="79"/>
      <c r="O723" s="79"/>
      <c r="P723" s="79"/>
      <c r="Q723" s="79"/>
      <c r="R723" s="79"/>
    </row>
    <row r="724">
      <c r="A724" s="1"/>
      <c r="B724" s="78"/>
      <c r="C724" s="78"/>
      <c r="D724" s="78"/>
      <c r="E724" s="78"/>
      <c r="M724" s="79"/>
      <c r="N724" s="79"/>
      <c r="O724" s="79"/>
      <c r="P724" s="79"/>
      <c r="Q724" s="79"/>
      <c r="R724" s="79"/>
    </row>
    <row r="725">
      <c r="A725" s="1"/>
      <c r="B725" s="78"/>
      <c r="C725" s="78"/>
      <c r="D725" s="78"/>
      <c r="E725" s="78"/>
      <c r="M725" s="79"/>
      <c r="N725" s="79"/>
      <c r="O725" s="79"/>
      <c r="P725" s="79"/>
      <c r="Q725" s="79"/>
      <c r="R725" s="79"/>
    </row>
    <row r="726">
      <c r="A726" s="1"/>
      <c r="B726" s="78"/>
      <c r="C726" s="78"/>
      <c r="D726" s="78"/>
      <c r="E726" s="78"/>
      <c r="M726" s="79"/>
      <c r="N726" s="79"/>
      <c r="O726" s="79"/>
      <c r="P726" s="79"/>
      <c r="Q726" s="79"/>
      <c r="R726" s="79"/>
    </row>
    <row r="727">
      <c r="A727" s="1"/>
      <c r="B727" s="78"/>
      <c r="C727" s="78"/>
      <c r="D727" s="78"/>
      <c r="E727" s="78"/>
      <c r="M727" s="79"/>
      <c r="N727" s="79"/>
      <c r="O727" s="79"/>
      <c r="P727" s="79"/>
      <c r="Q727" s="79"/>
      <c r="R727" s="79"/>
    </row>
    <row r="728">
      <c r="A728" s="1"/>
      <c r="B728" s="78"/>
      <c r="C728" s="78"/>
      <c r="D728" s="78"/>
      <c r="E728" s="78"/>
      <c r="M728" s="79"/>
      <c r="N728" s="79"/>
      <c r="O728" s="79"/>
      <c r="P728" s="79"/>
      <c r="Q728" s="79"/>
      <c r="R728" s="79"/>
    </row>
    <row r="729">
      <c r="A729" s="1"/>
      <c r="B729" s="78"/>
      <c r="C729" s="78"/>
      <c r="D729" s="78"/>
      <c r="E729" s="78"/>
      <c r="M729" s="79"/>
      <c r="N729" s="79"/>
      <c r="O729" s="79"/>
      <c r="P729" s="79"/>
      <c r="Q729" s="79"/>
      <c r="R729" s="79"/>
    </row>
    <row r="730">
      <c r="A730" s="1"/>
      <c r="B730" s="78"/>
      <c r="C730" s="78"/>
      <c r="D730" s="78"/>
      <c r="E730" s="78"/>
      <c r="M730" s="79"/>
      <c r="N730" s="79"/>
      <c r="O730" s="79"/>
      <c r="P730" s="79"/>
      <c r="Q730" s="79"/>
      <c r="R730" s="79"/>
    </row>
    <row r="731">
      <c r="A731" s="1"/>
      <c r="B731" s="78"/>
      <c r="C731" s="78"/>
      <c r="D731" s="78"/>
      <c r="E731" s="78"/>
      <c r="M731" s="79"/>
      <c r="N731" s="79"/>
      <c r="O731" s="79"/>
      <c r="P731" s="79"/>
      <c r="Q731" s="79"/>
      <c r="R731" s="79"/>
    </row>
    <row r="732">
      <c r="A732" s="1"/>
      <c r="B732" s="78"/>
      <c r="C732" s="78"/>
      <c r="D732" s="78"/>
      <c r="E732" s="78"/>
      <c r="M732" s="79"/>
      <c r="N732" s="79"/>
      <c r="O732" s="79"/>
      <c r="P732" s="79"/>
      <c r="Q732" s="79"/>
      <c r="R732" s="79"/>
    </row>
    <row r="733">
      <c r="A733" s="1"/>
      <c r="B733" s="78"/>
      <c r="C733" s="78"/>
      <c r="D733" s="78"/>
      <c r="E733" s="78"/>
      <c r="M733" s="79"/>
      <c r="N733" s="79"/>
      <c r="O733" s="79"/>
      <c r="P733" s="79"/>
      <c r="Q733" s="79"/>
      <c r="R733" s="79"/>
    </row>
    <row r="734">
      <c r="A734" s="1"/>
      <c r="B734" s="78"/>
      <c r="C734" s="78"/>
      <c r="D734" s="78"/>
      <c r="E734" s="78"/>
      <c r="M734" s="79"/>
      <c r="N734" s="79"/>
      <c r="O734" s="79"/>
      <c r="P734" s="79"/>
      <c r="Q734" s="79"/>
      <c r="R734" s="79"/>
    </row>
    <row r="735">
      <c r="A735" s="1"/>
      <c r="B735" s="78"/>
      <c r="C735" s="78"/>
      <c r="D735" s="78"/>
      <c r="E735" s="78"/>
      <c r="M735" s="79"/>
      <c r="N735" s="79"/>
      <c r="O735" s="79"/>
      <c r="P735" s="79"/>
      <c r="Q735" s="79"/>
      <c r="R735" s="79"/>
    </row>
    <row r="736">
      <c r="A736" s="1"/>
      <c r="B736" s="78"/>
      <c r="C736" s="78"/>
      <c r="D736" s="78"/>
      <c r="E736" s="78"/>
      <c r="M736" s="79"/>
      <c r="N736" s="79"/>
      <c r="O736" s="79"/>
      <c r="P736" s="79"/>
      <c r="Q736" s="79"/>
      <c r="R736" s="79"/>
    </row>
    <row r="737">
      <c r="A737" s="1"/>
      <c r="B737" s="78"/>
      <c r="C737" s="78"/>
      <c r="D737" s="78"/>
      <c r="E737" s="78"/>
      <c r="M737" s="79"/>
      <c r="N737" s="79"/>
      <c r="O737" s="79"/>
      <c r="P737" s="79"/>
      <c r="Q737" s="79"/>
      <c r="R737" s="79"/>
    </row>
    <row r="738">
      <c r="A738" s="1"/>
      <c r="B738" s="78"/>
      <c r="C738" s="78"/>
      <c r="D738" s="78"/>
      <c r="E738" s="78"/>
      <c r="M738" s="79"/>
      <c r="N738" s="79"/>
      <c r="O738" s="79"/>
      <c r="P738" s="79"/>
      <c r="Q738" s="79"/>
      <c r="R738" s="79"/>
    </row>
    <row r="739">
      <c r="A739" s="1"/>
      <c r="B739" s="78"/>
      <c r="C739" s="78"/>
      <c r="D739" s="78"/>
      <c r="E739" s="78"/>
      <c r="M739" s="79"/>
      <c r="N739" s="79"/>
      <c r="O739" s="79"/>
      <c r="P739" s="79"/>
      <c r="Q739" s="79"/>
      <c r="R739" s="79"/>
    </row>
    <row r="740">
      <c r="A740" s="1"/>
      <c r="B740" s="78"/>
      <c r="C740" s="78"/>
      <c r="D740" s="78"/>
      <c r="E740" s="78"/>
      <c r="M740" s="79"/>
      <c r="N740" s="79"/>
      <c r="O740" s="79"/>
      <c r="P740" s="79"/>
      <c r="Q740" s="79"/>
      <c r="R740" s="79"/>
    </row>
    <row r="741">
      <c r="A741" s="1"/>
      <c r="B741" s="78"/>
      <c r="C741" s="78"/>
      <c r="D741" s="78"/>
      <c r="E741" s="78"/>
      <c r="M741" s="79"/>
      <c r="N741" s="79"/>
      <c r="O741" s="79"/>
      <c r="P741" s="79"/>
      <c r="Q741" s="79"/>
      <c r="R741" s="79"/>
    </row>
    <row r="742">
      <c r="A742" s="1"/>
      <c r="B742" s="78"/>
      <c r="C742" s="78"/>
      <c r="D742" s="78"/>
      <c r="E742" s="78"/>
      <c r="M742" s="79"/>
      <c r="N742" s="79"/>
      <c r="O742" s="79"/>
      <c r="P742" s="79"/>
      <c r="Q742" s="79"/>
      <c r="R742" s="79"/>
    </row>
    <row r="743">
      <c r="A743" s="1"/>
      <c r="B743" s="78"/>
      <c r="C743" s="78"/>
      <c r="D743" s="78"/>
      <c r="E743" s="78"/>
      <c r="M743" s="79"/>
      <c r="N743" s="79"/>
      <c r="O743" s="79"/>
      <c r="P743" s="79"/>
      <c r="Q743" s="79"/>
      <c r="R743" s="79"/>
    </row>
    <row r="744">
      <c r="A744" s="1"/>
      <c r="B744" s="78"/>
      <c r="C744" s="78"/>
      <c r="D744" s="78"/>
      <c r="E744" s="78"/>
      <c r="M744" s="79"/>
      <c r="N744" s="79"/>
      <c r="O744" s="79"/>
      <c r="P744" s="79"/>
      <c r="Q744" s="79"/>
      <c r="R744" s="79"/>
    </row>
    <row r="745">
      <c r="A745" s="1"/>
      <c r="B745" s="78"/>
      <c r="C745" s="78"/>
      <c r="D745" s="78"/>
      <c r="E745" s="78"/>
      <c r="M745" s="79"/>
      <c r="N745" s="79"/>
      <c r="O745" s="79"/>
      <c r="P745" s="79"/>
      <c r="Q745" s="79"/>
      <c r="R745" s="79"/>
    </row>
    <row r="746">
      <c r="A746" s="1"/>
      <c r="B746" s="78"/>
      <c r="C746" s="78"/>
      <c r="D746" s="78"/>
      <c r="E746" s="78"/>
      <c r="M746" s="79"/>
      <c r="N746" s="79"/>
      <c r="O746" s="79"/>
      <c r="P746" s="79"/>
      <c r="Q746" s="79"/>
      <c r="R746" s="79"/>
    </row>
    <row r="747">
      <c r="A747" s="1"/>
      <c r="B747" s="78"/>
      <c r="C747" s="78"/>
      <c r="D747" s="78"/>
      <c r="E747" s="78"/>
      <c r="M747" s="79"/>
      <c r="N747" s="79"/>
      <c r="O747" s="79"/>
      <c r="P747" s="79"/>
      <c r="Q747" s="79"/>
      <c r="R747" s="79"/>
    </row>
    <row r="748">
      <c r="A748" s="1"/>
      <c r="B748" s="78"/>
      <c r="C748" s="78"/>
      <c r="D748" s="78"/>
      <c r="E748" s="78"/>
      <c r="M748" s="79"/>
      <c r="N748" s="79"/>
      <c r="O748" s="79"/>
      <c r="P748" s="79"/>
      <c r="Q748" s="79"/>
      <c r="R748" s="79"/>
    </row>
    <row r="749">
      <c r="A749" s="1"/>
      <c r="B749" s="78"/>
      <c r="C749" s="78"/>
      <c r="D749" s="78"/>
      <c r="E749" s="78"/>
      <c r="M749" s="79"/>
      <c r="N749" s="79"/>
      <c r="O749" s="79"/>
      <c r="P749" s="79"/>
      <c r="Q749" s="79"/>
      <c r="R749" s="79"/>
    </row>
    <row r="750">
      <c r="A750" s="1"/>
      <c r="B750" s="78"/>
      <c r="C750" s="78"/>
      <c r="D750" s="78"/>
      <c r="E750" s="78"/>
      <c r="M750" s="79"/>
      <c r="N750" s="79"/>
      <c r="O750" s="79"/>
      <c r="P750" s="79"/>
      <c r="Q750" s="79"/>
      <c r="R750" s="79"/>
    </row>
    <row r="751">
      <c r="A751" s="1"/>
      <c r="B751" s="78"/>
      <c r="C751" s="78"/>
      <c r="D751" s="78"/>
      <c r="E751" s="78"/>
      <c r="M751" s="79"/>
      <c r="N751" s="79"/>
      <c r="O751" s="79"/>
      <c r="P751" s="79"/>
      <c r="Q751" s="79"/>
      <c r="R751" s="79"/>
    </row>
    <row r="752">
      <c r="A752" s="1"/>
      <c r="B752" s="78"/>
      <c r="C752" s="78"/>
      <c r="D752" s="78"/>
      <c r="E752" s="78"/>
      <c r="M752" s="79"/>
      <c r="N752" s="79"/>
      <c r="O752" s="79"/>
      <c r="P752" s="79"/>
      <c r="Q752" s="79"/>
      <c r="R752" s="79"/>
    </row>
    <row r="753">
      <c r="A753" s="1"/>
      <c r="B753" s="78"/>
      <c r="C753" s="78"/>
      <c r="D753" s="78"/>
      <c r="E753" s="78"/>
      <c r="M753" s="79"/>
      <c r="N753" s="79"/>
      <c r="O753" s="79"/>
      <c r="P753" s="79"/>
      <c r="Q753" s="79"/>
      <c r="R753" s="79"/>
    </row>
    <row r="754">
      <c r="A754" s="1"/>
      <c r="B754" s="78"/>
      <c r="C754" s="78"/>
      <c r="D754" s="78"/>
      <c r="E754" s="78"/>
      <c r="M754" s="79"/>
      <c r="N754" s="79"/>
      <c r="O754" s="79"/>
      <c r="P754" s="79"/>
      <c r="Q754" s="79"/>
      <c r="R754" s="79"/>
    </row>
    <row r="755">
      <c r="A755" s="1"/>
      <c r="B755" s="78"/>
      <c r="C755" s="78"/>
      <c r="D755" s="78"/>
      <c r="E755" s="78"/>
      <c r="M755" s="79"/>
      <c r="N755" s="79"/>
      <c r="O755" s="79"/>
      <c r="P755" s="79"/>
      <c r="Q755" s="79"/>
      <c r="R755" s="79"/>
    </row>
    <row r="756">
      <c r="A756" s="1"/>
      <c r="B756" s="78"/>
      <c r="C756" s="78"/>
      <c r="D756" s="78"/>
      <c r="E756" s="78"/>
      <c r="M756" s="79"/>
      <c r="N756" s="79"/>
      <c r="O756" s="79"/>
      <c r="P756" s="79"/>
      <c r="Q756" s="79"/>
      <c r="R756" s="79"/>
    </row>
    <row r="757">
      <c r="A757" s="1"/>
      <c r="B757" s="78"/>
      <c r="C757" s="78"/>
      <c r="D757" s="78"/>
      <c r="E757" s="78"/>
      <c r="M757" s="79"/>
      <c r="N757" s="79"/>
      <c r="O757" s="79"/>
      <c r="P757" s="79"/>
      <c r="Q757" s="79"/>
      <c r="R757" s="79"/>
    </row>
    <row r="758">
      <c r="A758" s="1"/>
      <c r="B758" s="78"/>
      <c r="C758" s="78"/>
      <c r="D758" s="78"/>
      <c r="E758" s="78"/>
      <c r="M758" s="79"/>
      <c r="N758" s="79"/>
      <c r="O758" s="79"/>
      <c r="P758" s="79"/>
      <c r="Q758" s="79"/>
      <c r="R758" s="79"/>
    </row>
    <row r="759">
      <c r="A759" s="1"/>
      <c r="B759" s="78"/>
      <c r="C759" s="78"/>
      <c r="D759" s="78"/>
      <c r="E759" s="78"/>
      <c r="M759" s="79"/>
      <c r="N759" s="79"/>
      <c r="O759" s="79"/>
      <c r="P759" s="79"/>
      <c r="Q759" s="79"/>
      <c r="R759" s="79"/>
    </row>
    <row r="760">
      <c r="A760" s="1"/>
      <c r="B760" s="78"/>
      <c r="C760" s="78"/>
      <c r="D760" s="78"/>
      <c r="E760" s="78"/>
      <c r="M760" s="79"/>
      <c r="N760" s="79"/>
      <c r="O760" s="79"/>
      <c r="P760" s="79"/>
      <c r="Q760" s="79"/>
      <c r="R760" s="79"/>
    </row>
    <row r="761">
      <c r="A761" s="1"/>
      <c r="B761" s="78"/>
      <c r="C761" s="78"/>
      <c r="D761" s="78"/>
      <c r="E761" s="78"/>
      <c r="M761" s="79"/>
      <c r="N761" s="79"/>
      <c r="O761" s="79"/>
      <c r="P761" s="79"/>
      <c r="Q761" s="79"/>
      <c r="R761" s="79"/>
    </row>
    <row r="762">
      <c r="A762" s="1"/>
      <c r="B762" s="78"/>
      <c r="C762" s="78"/>
      <c r="D762" s="78"/>
      <c r="E762" s="78"/>
      <c r="M762" s="79"/>
      <c r="N762" s="79"/>
      <c r="O762" s="79"/>
      <c r="P762" s="79"/>
      <c r="Q762" s="79"/>
      <c r="R762" s="79"/>
    </row>
    <row r="763">
      <c r="A763" s="1"/>
      <c r="B763" s="78"/>
      <c r="C763" s="78"/>
      <c r="D763" s="78"/>
      <c r="E763" s="78"/>
      <c r="M763" s="79"/>
      <c r="N763" s="79"/>
      <c r="O763" s="79"/>
      <c r="P763" s="79"/>
      <c r="Q763" s="79"/>
      <c r="R763" s="79"/>
    </row>
    <row r="764">
      <c r="A764" s="1"/>
      <c r="B764" s="78"/>
      <c r="C764" s="78"/>
      <c r="D764" s="78"/>
      <c r="E764" s="78"/>
      <c r="M764" s="79"/>
      <c r="N764" s="79"/>
      <c r="O764" s="79"/>
      <c r="P764" s="79"/>
      <c r="Q764" s="79"/>
      <c r="R764" s="79"/>
    </row>
    <row r="765">
      <c r="A765" s="1"/>
      <c r="B765" s="78"/>
      <c r="C765" s="78"/>
      <c r="D765" s="78"/>
      <c r="E765" s="78"/>
      <c r="M765" s="79"/>
      <c r="N765" s="79"/>
      <c r="O765" s="79"/>
      <c r="P765" s="79"/>
      <c r="Q765" s="79"/>
      <c r="R765" s="79"/>
    </row>
    <row r="766">
      <c r="A766" s="1"/>
      <c r="B766" s="78"/>
      <c r="C766" s="78"/>
      <c r="D766" s="78"/>
      <c r="E766" s="78"/>
      <c r="M766" s="79"/>
      <c r="N766" s="79"/>
      <c r="O766" s="79"/>
      <c r="P766" s="79"/>
      <c r="Q766" s="79"/>
      <c r="R766" s="79"/>
    </row>
    <row r="767">
      <c r="A767" s="1"/>
      <c r="B767" s="78"/>
      <c r="C767" s="78"/>
      <c r="D767" s="78"/>
      <c r="E767" s="78"/>
      <c r="M767" s="79"/>
      <c r="N767" s="79"/>
      <c r="O767" s="79"/>
      <c r="P767" s="79"/>
      <c r="Q767" s="79"/>
      <c r="R767" s="79"/>
    </row>
    <row r="768">
      <c r="A768" s="1"/>
      <c r="B768" s="78"/>
      <c r="C768" s="78"/>
      <c r="D768" s="78"/>
      <c r="E768" s="78"/>
      <c r="M768" s="79"/>
      <c r="N768" s="79"/>
      <c r="O768" s="79"/>
      <c r="P768" s="79"/>
      <c r="Q768" s="79"/>
      <c r="R768" s="79"/>
    </row>
    <row r="769">
      <c r="A769" s="1"/>
      <c r="B769" s="78"/>
      <c r="C769" s="78"/>
      <c r="D769" s="78"/>
      <c r="E769" s="78"/>
      <c r="M769" s="79"/>
      <c r="N769" s="79"/>
      <c r="O769" s="79"/>
      <c r="P769" s="79"/>
      <c r="Q769" s="79"/>
      <c r="R769" s="79"/>
    </row>
    <row r="770">
      <c r="A770" s="1"/>
      <c r="B770" s="78"/>
      <c r="C770" s="78"/>
      <c r="D770" s="78"/>
      <c r="E770" s="78"/>
      <c r="M770" s="79"/>
      <c r="N770" s="79"/>
      <c r="O770" s="79"/>
      <c r="P770" s="79"/>
      <c r="Q770" s="79"/>
      <c r="R770" s="79"/>
    </row>
    <row r="771">
      <c r="A771" s="1"/>
      <c r="B771" s="78"/>
      <c r="C771" s="78"/>
      <c r="D771" s="78"/>
      <c r="E771" s="78"/>
      <c r="M771" s="79"/>
      <c r="N771" s="79"/>
      <c r="O771" s="79"/>
      <c r="P771" s="79"/>
      <c r="Q771" s="79"/>
      <c r="R771" s="79"/>
    </row>
    <row r="772">
      <c r="A772" s="1"/>
      <c r="B772" s="78"/>
      <c r="C772" s="78"/>
      <c r="D772" s="78"/>
      <c r="E772" s="78"/>
      <c r="M772" s="79"/>
      <c r="N772" s="79"/>
      <c r="O772" s="79"/>
      <c r="P772" s="79"/>
      <c r="Q772" s="79"/>
      <c r="R772" s="79"/>
    </row>
    <row r="773">
      <c r="A773" s="1"/>
      <c r="B773" s="78"/>
      <c r="C773" s="78"/>
      <c r="D773" s="78"/>
      <c r="E773" s="78"/>
      <c r="M773" s="79"/>
      <c r="N773" s="79"/>
      <c r="O773" s="79"/>
      <c r="P773" s="79"/>
      <c r="Q773" s="79"/>
      <c r="R773" s="79"/>
    </row>
    <row r="774">
      <c r="A774" s="1"/>
      <c r="B774" s="78"/>
      <c r="C774" s="78"/>
      <c r="D774" s="78"/>
      <c r="E774" s="78"/>
      <c r="M774" s="79"/>
      <c r="N774" s="79"/>
      <c r="O774" s="79"/>
      <c r="P774" s="79"/>
      <c r="Q774" s="79"/>
      <c r="R774" s="79"/>
    </row>
    <row r="775">
      <c r="A775" s="1"/>
      <c r="B775" s="78"/>
      <c r="C775" s="78"/>
      <c r="D775" s="78"/>
      <c r="E775" s="78"/>
      <c r="M775" s="79"/>
      <c r="N775" s="79"/>
      <c r="O775" s="79"/>
      <c r="P775" s="79"/>
      <c r="Q775" s="79"/>
      <c r="R775" s="79"/>
    </row>
    <row r="776">
      <c r="A776" s="1"/>
      <c r="B776" s="78"/>
      <c r="C776" s="78"/>
      <c r="D776" s="78"/>
      <c r="E776" s="78"/>
      <c r="M776" s="79"/>
      <c r="N776" s="79"/>
      <c r="O776" s="79"/>
      <c r="P776" s="79"/>
      <c r="Q776" s="79"/>
      <c r="R776" s="79"/>
    </row>
    <row r="777">
      <c r="A777" s="1"/>
      <c r="B777" s="78"/>
      <c r="C777" s="78"/>
      <c r="D777" s="78"/>
      <c r="E777" s="78"/>
      <c r="M777" s="79"/>
      <c r="N777" s="79"/>
      <c r="O777" s="79"/>
      <c r="P777" s="79"/>
      <c r="Q777" s="79"/>
      <c r="R777" s="79"/>
    </row>
    <row r="778">
      <c r="A778" s="1"/>
      <c r="B778" s="78"/>
      <c r="C778" s="78"/>
      <c r="D778" s="78"/>
      <c r="E778" s="78"/>
      <c r="M778" s="79"/>
      <c r="N778" s="79"/>
      <c r="O778" s="79"/>
      <c r="P778" s="79"/>
      <c r="Q778" s="79"/>
      <c r="R778" s="79"/>
    </row>
    <row r="779">
      <c r="A779" s="1"/>
      <c r="B779" s="78"/>
      <c r="C779" s="78"/>
      <c r="D779" s="78"/>
      <c r="E779" s="78"/>
      <c r="M779" s="79"/>
      <c r="N779" s="79"/>
      <c r="O779" s="79"/>
      <c r="P779" s="79"/>
      <c r="Q779" s="79"/>
      <c r="R779" s="79"/>
    </row>
    <row r="780">
      <c r="A780" s="1"/>
      <c r="B780" s="78"/>
      <c r="C780" s="78"/>
      <c r="D780" s="78"/>
      <c r="E780" s="78"/>
      <c r="M780" s="79"/>
      <c r="N780" s="79"/>
      <c r="O780" s="79"/>
      <c r="P780" s="79"/>
      <c r="Q780" s="79"/>
      <c r="R780" s="79"/>
    </row>
    <row r="781">
      <c r="A781" s="1"/>
      <c r="B781" s="78"/>
      <c r="C781" s="78"/>
      <c r="D781" s="78"/>
      <c r="E781" s="78"/>
      <c r="M781" s="79"/>
      <c r="N781" s="79"/>
      <c r="O781" s="79"/>
      <c r="P781" s="79"/>
      <c r="Q781" s="79"/>
      <c r="R781" s="79"/>
    </row>
    <row r="782">
      <c r="A782" s="1"/>
      <c r="B782" s="78"/>
      <c r="C782" s="78"/>
      <c r="D782" s="78"/>
      <c r="E782" s="78"/>
      <c r="M782" s="79"/>
      <c r="N782" s="79"/>
      <c r="O782" s="79"/>
      <c r="P782" s="79"/>
      <c r="Q782" s="79"/>
      <c r="R782" s="79"/>
    </row>
    <row r="783">
      <c r="A783" s="1"/>
      <c r="B783" s="78"/>
      <c r="C783" s="78"/>
      <c r="D783" s="78"/>
      <c r="E783" s="78"/>
      <c r="M783" s="79"/>
      <c r="N783" s="79"/>
      <c r="O783" s="79"/>
      <c r="P783" s="79"/>
      <c r="Q783" s="79"/>
      <c r="R783" s="79"/>
    </row>
    <row r="784">
      <c r="A784" s="1"/>
      <c r="B784" s="78"/>
      <c r="C784" s="78"/>
      <c r="D784" s="78"/>
      <c r="E784" s="78"/>
      <c r="M784" s="79"/>
      <c r="N784" s="79"/>
      <c r="O784" s="79"/>
      <c r="P784" s="79"/>
      <c r="Q784" s="79"/>
      <c r="R784" s="79"/>
    </row>
    <row r="785">
      <c r="A785" s="1"/>
      <c r="B785" s="78"/>
      <c r="C785" s="78"/>
      <c r="D785" s="78"/>
      <c r="E785" s="78"/>
      <c r="M785" s="79"/>
      <c r="N785" s="79"/>
      <c r="O785" s="79"/>
      <c r="P785" s="79"/>
      <c r="Q785" s="79"/>
      <c r="R785" s="79"/>
    </row>
    <row r="786">
      <c r="A786" s="1"/>
      <c r="B786" s="78"/>
      <c r="C786" s="78"/>
      <c r="D786" s="78"/>
      <c r="E786" s="78"/>
      <c r="M786" s="79"/>
      <c r="N786" s="79"/>
      <c r="O786" s="79"/>
      <c r="P786" s="79"/>
      <c r="Q786" s="79"/>
      <c r="R786" s="79"/>
    </row>
    <row r="787">
      <c r="A787" s="1"/>
      <c r="B787" s="78"/>
      <c r="C787" s="78"/>
      <c r="D787" s="78"/>
      <c r="E787" s="78"/>
      <c r="M787" s="79"/>
      <c r="N787" s="79"/>
      <c r="O787" s="79"/>
      <c r="P787" s="79"/>
      <c r="Q787" s="79"/>
      <c r="R787" s="79"/>
    </row>
    <row r="788">
      <c r="A788" s="1"/>
      <c r="B788" s="78"/>
      <c r="C788" s="78"/>
      <c r="D788" s="78"/>
      <c r="E788" s="78"/>
      <c r="M788" s="79"/>
      <c r="N788" s="79"/>
      <c r="O788" s="79"/>
      <c r="P788" s="79"/>
      <c r="Q788" s="79"/>
      <c r="R788" s="79"/>
    </row>
    <row r="789">
      <c r="A789" s="1"/>
      <c r="B789" s="78"/>
      <c r="C789" s="78"/>
      <c r="D789" s="78"/>
      <c r="E789" s="78"/>
      <c r="M789" s="79"/>
      <c r="N789" s="79"/>
      <c r="O789" s="79"/>
      <c r="P789" s="79"/>
      <c r="Q789" s="79"/>
      <c r="R789" s="79"/>
    </row>
    <row r="790">
      <c r="A790" s="1"/>
      <c r="B790" s="78"/>
      <c r="C790" s="78"/>
      <c r="D790" s="78"/>
      <c r="E790" s="78"/>
      <c r="M790" s="79"/>
      <c r="N790" s="79"/>
      <c r="O790" s="79"/>
      <c r="P790" s="79"/>
      <c r="Q790" s="79"/>
      <c r="R790" s="79"/>
    </row>
    <row r="791">
      <c r="A791" s="1"/>
      <c r="B791" s="78"/>
      <c r="C791" s="78"/>
      <c r="D791" s="78"/>
      <c r="E791" s="78"/>
      <c r="M791" s="79"/>
      <c r="N791" s="79"/>
      <c r="O791" s="79"/>
      <c r="P791" s="79"/>
      <c r="Q791" s="79"/>
      <c r="R791" s="79"/>
    </row>
    <row r="792">
      <c r="A792" s="1"/>
      <c r="B792" s="78"/>
      <c r="C792" s="78"/>
      <c r="D792" s="78"/>
      <c r="E792" s="78"/>
      <c r="M792" s="79"/>
      <c r="N792" s="79"/>
      <c r="O792" s="79"/>
      <c r="P792" s="79"/>
      <c r="Q792" s="79"/>
      <c r="R792" s="79"/>
    </row>
    <row r="793">
      <c r="A793" s="1"/>
      <c r="B793" s="78"/>
      <c r="C793" s="78"/>
      <c r="D793" s="78"/>
      <c r="E793" s="78"/>
      <c r="M793" s="79"/>
      <c r="N793" s="79"/>
      <c r="O793" s="79"/>
      <c r="P793" s="79"/>
      <c r="Q793" s="79"/>
      <c r="R793" s="79"/>
    </row>
    <row r="794">
      <c r="A794" s="1"/>
      <c r="B794" s="78"/>
      <c r="C794" s="78"/>
      <c r="D794" s="78"/>
      <c r="E794" s="78"/>
      <c r="M794" s="79"/>
      <c r="N794" s="79"/>
      <c r="O794" s="79"/>
      <c r="P794" s="79"/>
      <c r="Q794" s="79"/>
      <c r="R794" s="79"/>
    </row>
    <row r="795">
      <c r="A795" s="1"/>
      <c r="B795" s="78"/>
      <c r="C795" s="78"/>
      <c r="D795" s="78"/>
      <c r="E795" s="78"/>
      <c r="M795" s="79"/>
      <c r="N795" s="79"/>
      <c r="O795" s="79"/>
      <c r="P795" s="79"/>
      <c r="Q795" s="79"/>
      <c r="R795" s="79"/>
    </row>
    <row r="796">
      <c r="A796" s="1"/>
      <c r="B796" s="78"/>
      <c r="C796" s="78"/>
      <c r="D796" s="78"/>
      <c r="E796" s="78"/>
      <c r="M796" s="79"/>
      <c r="N796" s="79"/>
      <c r="O796" s="79"/>
      <c r="P796" s="79"/>
      <c r="Q796" s="79"/>
      <c r="R796" s="79"/>
    </row>
    <row r="797">
      <c r="A797" s="1"/>
      <c r="B797" s="78"/>
      <c r="C797" s="78"/>
      <c r="D797" s="78"/>
      <c r="E797" s="78"/>
      <c r="M797" s="79"/>
      <c r="N797" s="79"/>
      <c r="O797" s="79"/>
      <c r="P797" s="79"/>
      <c r="Q797" s="79"/>
      <c r="R797" s="79"/>
    </row>
    <row r="798">
      <c r="A798" s="1"/>
      <c r="B798" s="78"/>
      <c r="C798" s="78"/>
      <c r="D798" s="78"/>
      <c r="E798" s="78"/>
      <c r="M798" s="79"/>
      <c r="N798" s="79"/>
      <c r="O798" s="79"/>
      <c r="P798" s="79"/>
      <c r="Q798" s="79"/>
      <c r="R798" s="79"/>
    </row>
    <row r="799">
      <c r="A799" s="1"/>
      <c r="B799" s="78"/>
      <c r="C799" s="78"/>
      <c r="D799" s="78"/>
      <c r="E799" s="78"/>
      <c r="M799" s="79"/>
      <c r="N799" s="79"/>
      <c r="O799" s="79"/>
      <c r="P799" s="79"/>
      <c r="Q799" s="79"/>
      <c r="R799" s="79"/>
    </row>
    <row r="800">
      <c r="A800" s="1"/>
      <c r="B800" s="78"/>
      <c r="C800" s="78"/>
      <c r="D800" s="78"/>
      <c r="E800" s="78"/>
      <c r="M800" s="79"/>
      <c r="N800" s="79"/>
      <c r="O800" s="79"/>
      <c r="P800" s="79"/>
      <c r="Q800" s="79"/>
      <c r="R800" s="79"/>
    </row>
    <row r="801">
      <c r="A801" s="1"/>
      <c r="B801" s="78"/>
      <c r="C801" s="78"/>
      <c r="D801" s="78"/>
      <c r="E801" s="78"/>
      <c r="M801" s="79"/>
      <c r="N801" s="79"/>
      <c r="O801" s="79"/>
      <c r="P801" s="79"/>
      <c r="Q801" s="79"/>
      <c r="R801" s="79"/>
    </row>
    <row r="802">
      <c r="A802" s="1"/>
      <c r="B802" s="78"/>
      <c r="C802" s="78"/>
      <c r="D802" s="78"/>
      <c r="E802" s="78"/>
      <c r="M802" s="79"/>
      <c r="N802" s="79"/>
      <c r="O802" s="79"/>
      <c r="P802" s="79"/>
      <c r="Q802" s="79"/>
      <c r="R802" s="79"/>
    </row>
    <row r="803">
      <c r="A803" s="1"/>
      <c r="B803" s="78"/>
      <c r="C803" s="78"/>
      <c r="D803" s="78"/>
      <c r="E803" s="78"/>
      <c r="M803" s="79"/>
      <c r="N803" s="79"/>
      <c r="O803" s="79"/>
      <c r="P803" s="79"/>
      <c r="Q803" s="79"/>
      <c r="R803" s="79"/>
    </row>
    <row r="804">
      <c r="A804" s="1"/>
      <c r="B804" s="78"/>
      <c r="C804" s="78"/>
      <c r="D804" s="78"/>
      <c r="E804" s="78"/>
      <c r="M804" s="79"/>
      <c r="N804" s="79"/>
      <c r="O804" s="79"/>
      <c r="P804" s="79"/>
      <c r="Q804" s="79"/>
      <c r="R804" s="79"/>
    </row>
    <row r="805">
      <c r="A805" s="1"/>
      <c r="B805" s="78"/>
      <c r="C805" s="78"/>
      <c r="D805" s="78"/>
      <c r="E805" s="78"/>
      <c r="M805" s="79"/>
      <c r="N805" s="79"/>
      <c r="O805" s="79"/>
      <c r="P805" s="79"/>
      <c r="Q805" s="79"/>
      <c r="R805" s="79"/>
    </row>
    <row r="806">
      <c r="A806" s="1"/>
      <c r="B806" s="78"/>
      <c r="C806" s="78"/>
      <c r="D806" s="78"/>
      <c r="E806" s="78"/>
      <c r="M806" s="79"/>
      <c r="N806" s="79"/>
      <c r="O806" s="79"/>
      <c r="P806" s="79"/>
      <c r="Q806" s="79"/>
      <c r="R806" s="79"/>
    </row>
    <row r="807">
      <c r="A807" s="1"/>
      <c r="B807" s="78"/>
      <c r="C807" s="78"/>
      <c r="D807" s="78"/>
      <c r="E807" s="78"/>
      <c r="M807" s="79"/>
      <c r="N807" s="79"/>
      <c r="O807" s="79"/>
      <c r="P807" s="79"/>
      <c r="Q807" s="79"/>
      <c r="R807" s="79"/>
    </row>
    <row r="808">
      <c r="A808" s="1"/>
      <c r="B808" s="78"/>
      <c r="C808" s="78"/>
      <c r="D808" s="78"/>
      <c r="E808" s="78"/>
      <c r="M808" s="79"/>
      <c r="N808" s="79"/>
      <c r="O808" s="79"/>
      <c r="P808" s="79"/>
      <c r="Q808" s="79"/>
      <c r="R808" s="79"/>
    </row>
    <row r="809">
      <c r="A809" s="1"/>
      <c r="B809" s="78"/>
      <c r="C809" s="78"/>
      <c r="D809" s="78"/>
      <c r="E809" s="78"/>
      <c r="M809" s="79"/>
      <c r="N809" s="79"/>
      <c r="O809" s="79"/>
      <c r="P809" s="79"/>
      <c r="Q809" s="79"/>
      <c r="R809" s="79"/>
    </row>
    <row r="810">
      <c r="A810" s="1"/>
      <c r="B810" s="78"/>
      <c r="C810" s="78"/>
      <c r="D810" s="78"/>
      <c r="E810" s="78"/>
      <c r="M810" s="79"/>
      <c r="N810" s="79"/>
      <c r="O810" s="79"/>
      <c r="P810" s="79"/>
      <c r="Q810" s="79"/>
      <c r="R810" s="79"/>
    </row>
    <row r="811">
      <c r="A811" s="1"/>
      <c r="B811" s="78"/>
      <c r="C811" s="78"/>
      <c r="D811" s="78"/>
      <c r="E811" s="78"/>
      <c r="M811" s="79"/>
      <c r="N811" s="79"/>
      <c r="O811" s="79"/>
      <c r="P811" s="79"/>
      <c r="Q811" s="79"/>
      <c r="R811" s="79"/>
    </row>
    <row r="812">
      <c r="A812" s="1"/>
      <c r="B812" s="78"/>
      <c r="C812" s="78"/>
      <c r="D812" s="78"/>
      <c r="E812" s="78"/>
      <c r="M812" s="79"/>
      <c r="N812" s="79"/>
      <c r="O812" s="79"/>
      <c r="P812" s="79"/>
      <c r="Q812" s="79"/>
      <c r="R812" s="79"/>
    </row>
    <row r="813">
      <c r="A813" s="1"/>
      <c r="B813" s="78"/>
      <c r="C813" s="78"/>
      <c r="D813" s="78"/>
      <c r="E813" s="78"/>
      <c r="M813" s="79"/>
      <c r="N813" s="79"/>
      <c r="O813" s="79"/>
      <c r="P813" s="79"/>
      <c r="Q813" s="79"/>
      <c r="R813" s="79"/>
    </row>
    <row r="814">
      <c r="A814" s="1"/>
      <c r="B814" s="78"/>
      <c r="C814" s="78"/>
      <c r="D814" s="78"/>
      <c r="E814" s="78"/>
      <c r="M814" s="79"/>
      <c r="N814" s="79"/>
      <c r="O814" s="79"/>
      <c r="P814" s="79"/>
      <c r="Q814" s="79"/>
      <c r="R814" s="79"/>
    </row>
    <row r="815">
      <c r="A815" s="1"/>
      <c r="B815" s="78"/>
      <c r="C815" s="78"/>
      <c r="D815" s="78"/>
      <c r="E815" s="78"/>
      <c r="M815" s="79"/>
      <c r="N815" s="79"/>
      <c r="O815" s="79"/>
      <c r="P815" s="79"/>
      <c r="Q815" s="79"/>
      <c r="R815" s="79"/>
    </row>
    <row r="816">
      <c r="A816" s="1"/>
      <c r="B816" s="78"/>
      <c r="C816" s="78"/>
      <c r="D816" s="78"/>
      <c r="E816" s="78"/>
      <c r="M816" s="79"/>
      <c r="N816" s="79"/>
      <c r="O816" s="79"/>
      <c r="P816" s="79"/>
      <c r="Q816" s="79"/>
      <c r="R816" s="79"/>
    </row>
    <row r="817">
      <c r="A817" s="1"/>
      <c r="B817" s="78"/>
      <c r="C817" s="78"/>
      <c r="D817" s="78"/>
      <c r="E817" s="78"/>
      <c r="M817" s="79"/>
      <c r="N817" s="79"/>
      <c r="O817" s="79"/>
      <c r="P817" s="79"/>
      <c r="Q817" s="79"/>
      <c r="R817" s="79"/>
    </row>
    <row r="818">
      <c r="A818" s="1"/>
      <c r="B818" s="78"/>
      <c r="C818" s="78"/>
      <c r="D818" s="78"/>
      <c r="E818" s="78"/>
      <c r="M818" s="79"/>
      <c r="N818" s="79"/>
      <c r="O818" s="79"/>
      <c r="P818" s="79"/>
      <c r="Q818" s="79"/>
      <c r="R818" s="79"/>
    </row>
    <row r="819">
      <c r="A819" s="1"/>
      <c r="B819" s="78"/>
      <c r="C819" s="78"/>
      <c r="D819" s="78"/>
      <c r="E819" s="78"/>
      <c r="M819" s="79"/>
      <c r="N819" s="79"/>
      <c r="O819" s="79"/>
      <c r="P819" s="79"/>
      <c r="Q819" s="79"/>
      <c r="R819" s="79"/>
    </row>
    <row r="820">
      <c r="A820" s="1"/>
      <c r="B820" s="78"/>
      <c r="C820" s="78"/>
      <c r="D820" s="78"/>
      <c r="E820" s="78"/>
      <c r="M820" s="79"/>
      <c r="N820" s="79"/>
      <c r="O820" s="79"/>
      <c r="P820" s="79"/>
      <c r="Q820" s="79"/>
      <c r="R820" s="79"/>
    </row>
    <row r="821">
      <c r="A821" s="1"/>
      <c r="B821" s="78"/>
      <c r="C821" s="78"/>
      <c r="D821" s="78"/>
      <c r="E821" s="78"/>
      <c r="M821" s="79"/>
      <c r="N821" s="79"/>
      <c r="O821" s="79"/>
      <c r="P821" s="79"/>
      <c r="Q821" s="79"/>
      <c r="R821" s="79"/>
    </row>
    <row r="822">
      <c r="A822" s="1"/>
      <c r="B822" s="78"/>
      <c r="C822" s="78"/>
      <c r="D822" s="78"/>
      <c r="E822" s="78"/>
      <c r="M822" s="79"/>
      <c r="N822" s="79"/>
      <c r="O822" s="79"/>
      <c r="P822" s="79"/>
      <c r="Q822" s="79"/>
      <c r="R822" s="79"/>
    </row>
    <row r="823">
      <c r="A823" s="1"/>
      <c r="B823" s="78"/>
      <c r="C823" s="78"/>
      <c r="D823" s="78"/>
      <c r="E823" s="78"/>
      <c r="M823" s="79"/>
      <c r="N823" s="79"/>
      <c r="O823" s="79"/>
      <c r="P823" s="79"/>
      <c r="Q823" s="79"/>
      <c r="R823" s="79"/>
    </row>
    <row r="824">
      <c r="A824" s="1"/>
      <c r="B824" s="78"/>
      <c r="C824" s="78"/>
      <c r="D824" s="78"/>
      <c r="E824" s="78"/>
      <c r="M824" s="79"/>
      <c r="N824" s="79"/>
      <c r="O824" s="79"/>
      <c r="P824" s="79"/>
      <c r="Q824" s="79"/>
      <c r="R824" s="79"/>
    </row>
    <row r="825">
      <c r="A825" s="1"/>
      <c r="B825" s="78"/>
      <c r="C825" s="78"/>
      <c r="D825" s="78"/>
      <c r="E825" s="78"/>
      <c r="M825" s="79"/>
      <c r="N825" s="79"/>
      <c r="O825" s="79"/>
      <c r="P825" s="79"/>
      <c r="Q825" s="79"/>
      <c r="R825" s="79"/>
    </row>
    <row r="826">
      <c r="A826" s="1"/>
      <c r="B826" s="78"/>
      <c r="C826" s="78"/>
      <c r="D826" s="78"/>
      <c r="E826" s="78"/>
      <c r="M826" s="79"/>
      <c r="N826" s="79"/>
      <c r="O826" s="79"/>
      <c r="P826" s="79"/>
      <c r="Q826" s="79"/>
      <c r="R826" s="79"/>
    </row>
    <row r="827">
      <c r="A827" s="1"/>
      <c r="B827" s="78"/>
      <c r="C827" s="78"/>
      <c r="D827" s="78"/>
      <c r="E827" s="78"/>
      <c r="M827" s="79"/>
      <c r="N827" s="79"/>
      <c r="O827" s="79"/>
      <c r="P827" s="79"/>
      <c r="Q827" s="79"/>
      <c r="R827" s="79"/>
    </row>
    <row r="828">
      <c r="A828" s="1"/>
      <c r="B828" s="78"/>
      <c r="C828" s="78"/>
      <c r="D828" s="78"/>
      <c r="E828" s="78"/>
      <c r="M828" s="79"/>
      <c r="N828" s="79"/>
      <c r="O828" s="79"/>
      <c r="P828" s="79"/>
      <c r="Q828" s="79"/>
      <c r="R828" s="79"/>
    </row>
    <row r="829">
      <c r="A829" s="1"/>
      <c r="B829" s="78"/>
      <c r="C829" s="78"/>
      <c r="D829" s="78"/>
      <c r="E829" s="78"/>
      <c r="M829" s="79"/>
      <c r="N829" s="79"/>
      <c r="O829" s="79"/>
      <c r="P829" s="79"/>
      <c r="Q829" s="79"/>
      <c r="R829" s="79"/>
    </row>
    <row r="830">
      <c r="A830" s="1"/>
      <c r="B830" s="78"/>
      <c r="C830" s="78"/>
      <c r="D830" s="78"/>
      <c r="E830" s="78"/>
      <c r="M830" s="79"/>
      <c r="N830" s="79"/>
      <c r="O830" s="79"/>
      <c r="P830" s="79"/>
      <c r="Q830" s="79"/>
      <c r="R830" s="79"/>
    </row>
    <row r="831">
      <c r="A831" s="1"/>
      <c r="B831" s="78"/>
      <c r="C831" s="78"/>
      <c r="D831" s="78"/>
      <c r="E831" s="78"/>
      <c r="M831" s="79"/>
      <c r="N831" s="79"/>
      <c r="O831" s="79"/>
      <c r="P831" s="79"/>
      <c r="Q831" s="79"/>
      <c r="R831" s="79"/>
    </row>
    <row r="832">
      <c r="A832" s="1"/>
      <c r="B832" s="78"/>
      <c r="C832" s="78"/>
      <c r="D832" s="78"/>
      <c r="E832" s="78"/>
      <c r="M832" s="79"/>
      <c r="N832" s="79"/>
      <c r="O832" s="79"/>
      <c r="P832" s="79"/>
      <c r="Q832" s="79"/>
      <c r="R832" s="79"/>
    </row>
    <row r="833">
      <c r="A833" s="1"/>
      <c r="B833" s="78"/>
      <c r="C833" s="78"/>
      <c r="D833" s="78"/>
      <c r="E833" s="78"/>
      <c r="M833" s="79"/>
      <c r="N833" s="79"/>
      <c r="O833" s="79"/>
      <c r="P833" s="79"/>
      <c r="Q833" s="79"/>
      <c r="R833" s="79"/>
    </row>
    <row r="834">
      <c r="A834" s="1"/>
      <c r="B834" s="78"/>
      <c r="C834" s="78"/>
      <c r="D834" s="78"/>
      <c r="E834" s="78"/>
      <c r="M834" s="79"/>
      <c r="N834" s="79"/>
      <c r="O834" s="79"/>
      <c r="P834" s="79"/>
      <c r="Q834" s="79"/>
      <c r="R834" s="79"/>
    </row>
    <row r="835">
      <c r="A835" s="1"/>
      <c r="B835" s="78"/>
      <c r="C835" s="78"/>
      <c r="D835" s="78"/>
      <c r="E835" s="78"/>
      <c r="M835" s="79"/>
      <c r="N835" s="79"/>
      <c r="O835" s="79"/>
      <c r="P835" s="79"/>
      <c r="Q835" s="79"/>
      <c r="R835" s="79"/>
    </row>
    <row r="836">
      <c r="A836" s="1"/>
      <c r="B836" s="78"/>
      <c r="C836" s="78"/>
      <c r="D836" s="78"/>
      <c r="E836" s="78"/>
      <c r="M836" s="79"/>
      <c r="N836" s="79"/>
      <c r="O836" s="79"/>
      <c r="P836" s="79"/>
      <c r="Q836" s="79"/>
      <c r="R836" s="79"/>
    </row>
    <row r="837">
      <c r="A837" s="1"/>
      <c r="B837" s="78"/>
      <c r="C837" s="78"/>
      <c r="D837" s="78"/>
      <c r="E837" s="78"/>
      <c r="M837" s="79"/>
      <c r="N837" s="79"/>
      <c r="O837" s="79"/>
      <c r="P837" s="79"/>
      <c r="Q837" s="79"/>
      <c r="R837" s="79"/>
    </row>
    <row r="838">
      <c r="A838" s="1"/>
      <c r="B838" s="78"/>
      <c r="C838" s="78"/>
      <c r="D838" s="78"/>
      <c r="E838" s="78"/>
      <c r="M838" s="79"/>
      <c r="N838" s="79"/>
      <c r="O838" s="79"/>
      <c r="P838" s="79"/>
      <c r="Q838" s="79"/>
      <c r="R838" s="79"/>
    </row>
    <row r="839">
      <c r="A839" s="1"/>
      <c r="B839" s="78"/>
      <c r="C839" s="78"/>
      <c r="D839" s="78"/>
      <c r="E839" s="78"/>
      <c r="M839" s="79"/>
      <c r="N839" s="79"/>
      <c r="O839" s="79"/>
      <c r="P839" s="79"/>
      <c r="Q839" s="79"/>
      <c r="R839" s="79"/>
    </row>
    <row r="840">
      <c r="A840" s="1"/>
      <c r="B840" s="78"/>
      <c r="C840" s="78"/>
      <c r="D840" s="78"/>
      <c r="E840" s="78"/>
      <c r="M840" s="79"/>
      <c r="N840" s="79"/>
      <c r="O840" s="79"/>
      <c r="P840" s="79"/>
      <c r="Q840" s="79"/>
      <c r="R840" s="79"/>
    </row>
    <row r="841">
      <c r="A841" s="1"/>
      <c r="B841" s="78"/>
      <c r="C841" s="78"/>
      <c r="D841" s="78"/>
      <c r="E841" s="78"/>
      <c r="M841" s="79"/>
      <c r="N841" s="79"/>
      <c r="O841" s="79"/>
      <c r="P841" s="79"/>
      <c r="Q841" s="79"/>
      <c r="R841" s="79"/>
    </row>
    <row r="842">
      <c r="A842" s="1"/>
      <c r="B842" s="78"/>
      <c r="C842" s="78"/>
      <c r="D842" s="78"/>
      <c r="E842" s="78"/>
      <c r="M842" s="79"/>
      <c r="N842" s="79"/>
      <c r="O842" s="79"/>
      <c r="P842" s="79"/>
      <c r="Q842" s="79"/>
      <c r="R842" s="79"/>
    </row>
    <row r="843">
      <c r="A843" s="1"/>
      <c r="B843" s="78"/>
      <c r="C843" s="78"/>
      <c r="D843" s="78"/>
      <c r="E843" s="78"/>
      <c r="M843" s="79"/>
      <c r="N843" s="79"/>
      <c r="O843" s="79"/>
      <c r="P843" s="79"/>
      <c r="Q843" s="79"/>
      <c r="R843" s="79"/>
    </row>
    <row r="844">
      <c r="A844" s="1"/>
      <c r="B844" s="78"/>
      <c r="C844" s="78"/>
      <c r="D844" s="78"/>
      <c r="E844" s="78"/>
      <c r="M844" s="79"/>
      <c r="N844" s="79"/>
      <c r="O844" s="79"/>
      <c r="P844" s="79"/>
      <c r="Q844" s="79"/>
      <c r="R844" s="79"/>
    </row>
    <row r="845">
      <c r="A845" s="1"/>
      <c r="B845" s="78"/>
      <c r="C845" s="78"/>
      <c r="D845" s="78"/>
      <c r="E845" s="78"/>
      <c r="M845" s="79"/>
      <c r="N845" s="79"/>
      <c r="O845" s="79"/>
      <c r="P845" s="79"/>
      <c r="Q845" s="79"/>
      <c r="R845" s="79"/>
    </row>
    <row r="846">
      <c r="A846" s="1"/>
      <c r="B846" s="78"/>
      <c r="C846" s="78"/>
      <c r="D846" s="78"/>
      <c r="E846" s="78"/>
      <c r="M846" s="79"/>
      <c r="N846" s="79"/>
      <c r="O846" s="79"/>
      <c r="P846" s="79"/>
      <c r="Q846" s="79"/>
      <c r="R846" s="79"/>
    </row>
    <row r="847">
      <c r="A847" s="1"/>
      <c r="B847" s="78"/>
      <c r="C847" s="78"/>
      <c r="D847" s="78"/>
      <c r="E847" s="78"/>
      <c r="M847" s="79"/>
      <c r="N847" s="79"/>
      <c r="O847" s="79"/>
      <c r="P847" s="79"/>
      <c r="Q847" s="79"/>
      <c r="R847" s="79"/>
    </row>
    <row r="848">
      <c r="A848" s="1"/>
      <c r="B848" s="78"/>
      <c r="C848" s="78"/>
      <c r="D848" s="78"/>
      <c r="E848" s="78"/>
      <c r="M848" s="79"/>
      <c r="N848" s="79"/>
      <c r="O848" s="79"/>
      <c r="P848" s="79"/>
      <c r="Q848" s="79"/>
      <c r="R848" s="79"/>
    </row>
    <row r="849">
      <c r="A849" s="1"/>
      <c r="B849" s="78"/>
      <c r="C849" s="78"/>
      <c r="D849" s="78"/>
      <c r="E849" s="78"/>
      <c r="M849" s="79"/>
      <c r="N849" s="79"/>
      <c r="O849" s="79"/>
      <c r="P849" s="79"/>
      <c r="Q849" s="79"/>
      <c r="R849" s="79"/>
    </row>
    <row r="850">
      <c r="A850" s="1"/>
      <c r="B850" s="78"/>
      <c r="C850" s="78"/>
      <c r="D850" s="78"/>
      <c r="E850" s="78"/>
      <c r="M850" s="79"/>
      <c r="N850" s="79"/>
      <c r="O850" s="79"/>
      <c r="P850" s="79"/>
      <c r="Q850" s="79"/>
      <c r="R850" s="79"/>
    </row>
    <row r="851">
      <c r="A851" s="1"/>
      <c r="B851" s="78"/>
      <c r="C851" s="78"/>
      <c r="D851" s="78"/>
      <c r="E851" s="78"/>
      <c r="M851" s="79"/>
      <c r="N851" s="79"/>
      <c r="O851" s="79"/>
      <c r="P851" s="79"/>
      <c r="Q851" s="79"/>
      <c r="R851" s="79"/>
    </row>
    <row r="852">
      <c r="A852" s="1"/>
      <c r="B852" s="78"/>
      <c r="C852" s="78"/>
      <c r="D852" s="78"/>
      <c r="E852" s="78"/>
      <c r="M852" s="79"/>
      <c r="N852" s="79"/>
      <c r="O852" s="79"/>
      <c r="P852" s="79"/>
      <c r="Q852" s="79"/>
      <c r="R852" s="79"/>
    </row>
    <row r="853">
      <c r="A853" s="1"/>
      <c r="B853" s="78"/>
      <c r="C853" s="78"/>
      <c r="D853" s="78"/>
      <c r="E853" s="78"/>
      <c r="M853" s="79"/>
      <c r="N853" s="79"/>
      <c r="O853" s="79"/>
      <c r="P853" s="79"/>
      <c r="Q853" s="79"/>
      <c r="R853" s="79"/>
    </row>
    <row r="854">
      <c r="A854" s="1"/>
      <c r="B854" s="78"/>
      <c r="C854" s="78"/>
      <c r="D854" s="78"/>
      <c r="E854" s="78"/>
      <c r="M854" s="79"/>
      <c r="N854" s="79"/>
      <c r="O854" s="79"/>
      <c r="P854" s="79"/>
      <c r="Q854" s="79"/>
      <c r="R854" s="79"/>
    </row>
    <row r="855">
      <c r="A855" s="1"/>
      <c r="B855" s="78"/>
      <c r="C855" s="78"/>
      <c r="D855" s="78"/>
      <c r="E855" s="78"/>
      <c r="M855" s="79"/>
      <c r="N855" s="79"/>
      <c r="O855" s="79"/>
      <c r="P855" s="79"/>
      <c r="Q855" s="79"/>
      <c r="R855" s="79"/>
    </row>
    <row r="856">
      <c r="A856" s="1"/>
      <c r="B856" s="78"/>
      <c r="C856" s="78"/>
      <c r="D856" s="78"/>
      <c r="E856" s="78"/>
      <c r="M856" s="79"/>
      <c r="N856" s="79"/>
      <c r="O856" s="79"/>
      <c r="P856" s="79"/>
      <c r="Q856" s="79"/>
      <c r="R856" s="79"/>
    </row>
    <row r="857">
      <c r="A857" s="1"/>
      <c r="B857" s="78"/>
      <c r="C857" s="78"/>
      <c r="D857" s="78"/>
      <c r="E857" s="78"/>
      <c r="M857" s="79"/>
      <c r="N857" s="79"/>
      <c r="O857" s="79"/>
      <c r="P857" s="79"/>
      <c r="Q857" s="79"/>
      <c r="R857" s="79"/>
    </row>
    <row r="858">
      <c r="A858" s="1"/>
      <c r="B858" s="78"/>
      <c r="C858" s="78"/>
      <c r="D858" s="78"/>
      <c r="E858" s="78"/>
      <c r="M858" s="79"/>
      <c r="N858" s="79"/>
      <c r="O858" s="79"/>
      <c r="P858" s="79"/>
      <c r="Q858" s="79"/>
      <c r="R858" s="79"/>
    </row>
    <row r="859">
      <c r="A859" s="1"/>
      <c r="B859" s="78"/>
      <c r="C859" s="78"/>
      <c r="D859" s="78"/>
      <c r="E859" s="78"/>
      <c r="M859" s="79"/>
      <c r="N859" s="79"/>
      <c r="O859" s="79"/>
      <c r="P859" s="79"/>
      <c r="Q859" s="79"/>
      <c r="R859" s="79"/>
    </row>
    <row r="860">
      <c r="A860" s="1"/>
      <c r="B860" s="78"/>
      <c r="C860" s="78"/>
      <c r="D860" s="78"/>
      <c r="E860" s="78"/>
      <c r="M860" s="79"/>
      <c r="N860" s="79"/>
      <c r="O860" s="79"/>
      <c r="P860" s="79"/>
      <c r="Q860" s="79"/>
      <c r="R860" s="79"/>
    </row>
    <row r="861">
      <c r="A861" s="1"/>
      <c r="B861" s="78"/>
      <c r="C861" s="78"/>
      <c r="D861" s="78"/>
      <c r="E861" s="78"/>
      <c r="M861" s="79"/>
      <c r="N861" s="79"/>
      <c r="O861" s="79"/>
      <c r="P861" s="79"/>
      <c r="Q861" s="79"/>
      <c r="R861" s="79"/>
    </row>
    <row r="862">
      <c r="A862" s="1"/>
      <c r="B862" s="78"/>
      <c r="C862" s="78"/>
      <c r="D862" s="78"/>
      <c r="E862" s="78"/>
      <c r="M862" s="79"/>
      <c r="N862" s="79"/>
      <c r="O862" s="79"/>
      <c r="P862" s="79"/>
      <c r="Q862" s="79"/>
      <c r="R862" s="79"/>
    </row>
    <row r="863">
      <c r="A863" s="1"/>
      <c r="B863" s="78"/>
      <c r="C863" s="78"/>
      <c r="D863" s="78"/>
      <c r="E863" s="78"/>
      <c r="M863" s="79"/>
      <c r="N863" s="79"/>
      <c r="O863" s="79"/>
      <c r="P863" s="79"/>
      <c r="Q863" s="79"/>
      <c r="R863" s="79"/>
    </row>
    <row r="864">
      <c r="A864" s="1"/>
      <c r="B864" s="78"/>
      <c r="C864" s="78"/>
      <c r="D864" s="78"/>
      <c r="E864" s="78"/>
      <c r="M864" s="79"/>
      <c r="N864" s="79"/>
      <c r="O864" s="79"/>
      <c r="P864" s="79"/>
      <c r="Q864" s="79"/>
      <c r="R864" s="79"/>
    </row>
    <row r="865">
      <c r="A865" s="1"/>
      <c r="B865" s="78"/>
      <c r="C865" s="78"/>
      <c r="D865" s="78"/>
      <c r="E865" s="78"/>
      <c r="M865" s="79"/>
      <c r="N865" s="79"/>
      <c r="O865" s="79"/>
      <c r="P865" s="79"/>
      <c r="Q865" s="79"/>
      <c r="R865" s="79"/>
    </row>
    <row r="866">
      <c r="A866" s="1"/>
      <c r="B866" s="78"/>
      <c r="C866" s="78"/>
      <c r="D866" s="78"/>
      <c r="E866" s="78"/>
      <c r="M866" s="79"/>
      <c r="N866" s="79"/>
      <c r="O866" s="79"/>
      <c r="P866" s="79"/>
      <c r="Q866" s="79"/>
      <c r="R866" s="79"/>
    </row>
    <row r="867">
      <c r="A867" s="1"/>
      <c r="B867" s="78"/>
      <c r="C867" s="78"/>
      <c r="D867" s="78"/>
      <c r="E867" s="78"/>
      <c r="M867" s="79"/>
      <c r="N867" s="79"/>
      <c r="O867" s="79"/>
      <c r="P867" s="79"/>
      <c r="Q867" s="79"/>
      <c r="R867" s="79"/>
    </row>
    <row r="868">
      <c r="A868" s="1"/>
      <c r="B868" s="78"/>
      <c r="C868" s="78"/>
      <c r="D868" s="78"/>
      <c r="E868" s="78"/>
      <c r="M868" s="79"/>
      <c r="N868" s="79"/>
      <c r="O868" s="79"/>
      <c r="P868" s="79"/>
      <c r="Q868" s="79"/>
      <c r="R868" s="79"/>
    </row>
    <row r="869">
      <c r="A869" s="1"/>
      <c r="B869" s="78"/>
      <c r="C869" s="78"/>
      <c r="D869" s="78"/>
      <c r="E869" s="78"/>
      <c r="M869" s="79"/>
      <c r="N869" s="79"/>
      <c r="O869" s="79"/>
      <c r="P869" s="79"/>
      <c r="Q869" s="79"/>
      <c r="R869" s="79"/>
    </row>
    <row r="870">
      <c r="A870" s="1"/>
      <c r="B870" s="78"/>
      <c r="C870" s="78"/>
      <c r="D870" s="78"/>
      <c r="E870" s="78"/>
      <c r="M870" s="79"/>
      <c r="N870" s="79"/>
      <c r="O870" s="79"/>
      <c r="P870" s="79"/>
      <c r="Q870" s="79"/>
      <c r="R870" s="79"/>
    </row>
    <row r="871">
      <c r="A871" s="1"/>
      <c r="B871" s="78"/>
      <c r="C871" s="78"/>
      <c r="D871" s="78"/>
      <c r="E871" s="78"/>
      <c r="M871" s="79"/>
      <c r="N871" s="79"/>
      <c r="O871" s="79"/>
      <c r="P871" s="79"/>
      <c r="Q871" s="79"/>
      <c r="R871" s="79"/>
    </row>
    <row r="872">
      <c r="A872" s="1"/>
      <c r="B872" s="78"/>
      <c r="C872" s="78"/>
      <c r="D872" s="78"/>
      <c r="E872" s="78"/>
      <c r="M872" s="79"/>
      <c r="N872" s="79"/>
      <c r="O872" s="79"/>
      <c r="P872" s="79"/>
      <c r="Q872" s="79"/>
      <c r="R872" s="79"/>
    </row>
    <row r="873">
      <c r="A873" s="1"/>
      <c r="B873" s="78"/>
      <c r="C873" s="78"/>
      <c r="D873" s="78"/>
      <c r="E873" s="78"/>
      <c r="M873" s="79"/>
      <c r="N873" s="79"/>
      <c r="O873" s="79"/>
      <c r="P873" s="79"/>
      <c r="Q873" s="79"/>
      <c r="R873" s="79"/>
    </row>
    <row r="874">
      <c r="A874" s="1"/>
      <c r="B874" s="78"/>
      <c r="C874" s="78"/>
      <c r="D874" s="78"/>
      <c r="E874" s="78"/>
      <c r="M874" s="79"/>
      <c r="N874" s="79"/>
      <c r="O874" s="79"/>
      <c r="P874" s="79"/>
      <c r="Q874" s="79"/>
      <c r="R874" s="79"/>
    </row>
    <row r="875">
      <c r="A875" s="1"/>
      <c r="B875" s="78"/>
      <c r="C875" s="78"/>
      <c r="D875" s="78"/>
      <c r="E875" s="78"/>
      <c r="M875" s="79"/>
      <c r="N875" s="79"/>
      <c r="O875" s="79"/>
      <c r="P875" s="79"/>
      <c r="Q875" s="79"/>
      <c r="R875" s="79"/>
    </row>
    <row r="876">
      <c r="A876" s="1"/>
      <c r="B876" s="78"/>
      <c r="C876" s="78"/>
      <c r="D876" s="78"/>
      <c r="E876" s="78"/>
      <c r="M876" s="79"/>
      <c r="N876" s="79"/>
      <c r="O876" s="79"/>
      <c r="P876" s="79"/>
      <c r="Q876" s="79"/>
      <c r="R876" s="79"/>
    </row>
    <row r="877">
      <c r="A877" s="1"/>
      <c r="B877" s="78"/>
      <c r="C877" s="78"/>
      <c r="D877" s="78"/>
      <c r="E877" s="78"/>
      <c r="M877" s="79"/>
      <c r="N877" s="79"/>
      <c r="O877" s="79"/>
      <c r="P877" s="79"/>
      <c r="Q877" s="79"/>
      <c r="R877" s="79"/>
    </row>
    <row r="878">
      <c r="A878" s="1"/>
      <c r="B878" s="78"/>
      <c r="C878" s="78"/>
      <c r="D878" s="78"/>
      <c r="E878" s="78"/>
      <c r="M878" s="79"/>
      <c r="N878" s="79"/>
      <c r="O878" s="79"/>
      <c r="P878" s="79"/>
      <c r="Q878" s="79"/>
      <c r="R878" s="79"/>
    </row>
    <row r="879">
      <c r="A879" s="1"/>
      <c r="B879" s="78"/>
      <c r="C879" s="78"/>
      <c r="D879" s="78"/>
      <c r="E879" s="78"/>
      <c r="M879" s="79"/>
      <c r="N879" s="79"/>
      <c r="O879" s="79"/>
      <c r="P879" s="79"/>
      <c r="Q879" s="79"/>
      <c r="R879" s="79"/>
    </row>
    <row r="880">
      <c r="A880" s="1"/>
      <c r="B880" s="78"/>
      <c r="C880" s="78"/>
      <c r="D880" s="78"/>
      <c r="E880" s="78"/>
      <c r="M880" s="79"/>
      <c r="N880" s="79"/>
      <c r="O880" s="79"/>
      <c r="P880" s="79"/>
      <c r="Q880" s="79"/>
      <c r="R880" s="79"/>
    </row>
    <row r="881">
      <c r="A881" s="1"/>
      <c r="B881" s="78"/>
      <c r="C881" s="78"/>
      <c r="D881" s="78"/>
      <c r="E881" s="78"/>
      <c r="M881" s="79"/>
      <c r="N881" s="79"/>
      <c r="O881" s="79"/>
      <c r="P881" s="79"/>
      <c r="Q881" s="79"/>
      <c r="R881" s="79"/>
    </row>
    <row r="882">
      <c r="A882" s="1"/>
      <c r="B882" s="78"/>
      <c r="C882" s="78"/>
      <c r="D882" s="78"/>
      <c r="E882" s="78"/>
      <c r="M882" s="79"/>
      <c r="N882" s="79"/>
      <c r="O882" s="79"/>
      <c r="P882" s="79"/>
      <c r="Q882" s="79"/>
      <c r="R882" s="79"/>
    </row>
    <row r="883">
      <c r="A883" s="1"/>
      <c r="B883" s="78"/>
      <c r="C883" s="78"/>
      <c r="D883" s="78"/>
      <c r="E883" s="78"/>
      <c r="M883" s="79"/>
      <c r="N883" s="79"/>
      <c r="O883" s="79"/>
      <c r="P883" s="79"/>
      <c r="Q883" s="79"/>
      <c r="R883" s="79"/>
    </row>
    <row r="884">
      <c r="A884" s="1"/>
      <c r="B884" s="78"/>
      <c r="C884" s="78"/>
      <c r="D884" s="78"/>
      <c r="E884" s="78"/>
      <c r="M884" s="79"/>
      <c r="N884" s="79"/>
      <c r="O884" s="79"/>
      <c r="P884" s="79"/>
      <c r="Q884" s="79"/>
      <c r="R884" s="79"/>
    </row>
    <row r="885">
      <c r="A885" s="1"/>
      <c r="B885" s="78"/>
      <c r="C885" s="78"/>
      <c r="D885" s="78"/>
      <c r="E885" s="78"/>
      <c r="M885" s="79"/>
      <c r="N885" s="79"/>
      <c r="O885" s="79"/>
      <c r="P885" s="79"/>
      <c r="Q885" s="79"/>
      <c r="R885" s="79"/>
    </row>
    <row r="886">
      <c r="A886" s="1"/>
      <c r="B886" s="78"/>
      <c r="C886" s="78"/>
      <c r="D886" s="78"/>
      <c r="E886" s="78"/>
      <c r="M886" s="79"/>
      <c r="N886" s="79"/>
      <c r="O886" s="79"/>
      <c r="P886" s="79"/>
      <c r="Q886" s="79"/>
      <c r="R886" s="79"/>
    </row>
    <row r="887">
      <c r="A887" s="1"/>
      <c r="B887" s="78"/>
      <c r="C887" s="78"/>
      <c r="D887" s="78"/>
      <c r="E887" s="78"/>
      <c r="M887" s="79"/>
      <c r="N887" s="79"/>
      <c r="O887" s="79"/>
      <c r="P887" s="79"/>
      <c r="Q887" s="79"/>
      <c r="R887" s="79"/>
    </row>
    <row r="888">
      <c r="A888" s="1"/>
      <c r="B888" s="78"/>
      <c r="C888" s="78"/>
      <c r="D888" s="78"/>
      <c r="E888" s="78"/>
      <c r="M888" s="79"/>
      <c r="N888" s="79"/>
      <c r="O888" s="79"/>
      <c r="P888" s="79"/>
      <c r="Q888" s="79"/>
      <c r="R888" s="79"/>
    </row>
    <row r="889">
      <c r="A889" s="1"/>
      <c r="B889" s="78"/>
      <c r="C889" s="78"/>
      <c r="D889" s="78"/>
      <c r="E889" s="78"/>
      <c r="M889" s="79"/>
      <c r="N889" s="79"/>
      <c r="O889" s="79"/>
      <c r="P889" s="79"/>
      <c r="Q889" s="79"/>
      <c r="R889" s="79"/>
    </row>
    <row r="890">
      <c r="A890" s="1"/>
      <c r="B890" s="78"/>
      <c r="C890" s="78"/>
      <c r="D890" s="78"/>
      <c r="E890" s="78"/>
      <c r="M890" s="79"/>
      <c r="N890" s="79"/>
      <c r="O890" s="79"/>
      <c r="P890" s="79"/>
      <c r="Q890" s="79"/>
      <c r="R890" s="79"/>
    </row>
    <row r="891">
      <c r="A891" s="1"/>
      <c r="B891" s="78"/>
      <c r="C891" s="78"/>
      <c r="D891" s="78"/>
      <c r="E891" s="78"/>
      <c r="M891" s="79"/>
      <c r="N891" s="79"/>
      <c r="O891" s="79"/>
      <c r="P891" s="79"/>
      <c r="Q891" s="79"/>
      <c r="R891" s="79"/>
    </row>
    <row r="892">
      <c r="A892" s="1"/>
      <c r="B892" s="78"/>
      <c r="C892" s="78"/>
      <c r="D892" s="78"/>
      <c r="E892" s="78"/>
      <c r="M892" s="79"/>
      <c r="N892" s="79"/>
      <c r="O892" s="79"/>
      <c r="P892" s="79"/>
      <c r="Q892" s="79"/>
      <c r="R892" s="79"/>
    </row>
    <row r="893">
      <c r="A893" s="1"/>
      <c r="B893" s="78"/>
      <c r="C893" s="78"/>
      <c r="D893" s="78"/>
      <c r="E893" s="78"/>
      <c r="M893" s="79"/>
      <c r="N893" s="79"/>
      <c r="O893" s="79"/>
      <c r="P893" s="79"/>
      <c r="Q893" s="79"/>
      <c r="R893" s="79"/>
    </row>
    <row r="894">
      <c r="A894" s="1"/>
      <c r="B894" s="78"/>
      <c r="C894" s="78"/>
      <c r="D894" s="78"/>
      <c r="E894" s="78"/>
      <c r="M894" s="79"/>
      <c r="N894" s="79"/>
      <c r="O894" s="79"/>
      <c r="P894" s="79"/>
      <c r="Q894" s="79"/>
      <c r="R894" s="79"/>
    </row>
    <row r="895">
      <c r="A895" s="1"/>
      <c r="B895" s="78"/>
      <c r="C895" s="78"/>
      <c r="D895" s="78"/>
      <c r="E895" s="78"/>
      <c r="M895" s="79"/>
      <c r="N895" s="79"/>
      <c r="O895" s="79"/>
      <c r="P895" s="79"/>
      <c r="Q895" s="79"/>
      <c r="R895" s="79"/>
    </row>
    <row r="896">
      <c r="A896" s="1"/>
      <c r="B896" s="78"/>
      <c r="C896" s="78"/>
      <c r="D896" s="78"/>
      <c r="E896" s="78"/>
      <c r="M896" s="79"/>
      <c r="N896" s="79"/>
      <c r="O896" s="79"/>
      <c r="P896" s="79"/>
      <c r="Q896" s="79"/>
      <c r="R896" s="79"/>
    </row>
    <row r="897">
      <c r="A897" s="1"/>
      <c r="B897" s="78"/>
      <c r="C897" s="78"/>
      <c r="D897" s="78"/>
      <c r="E897" s="78"/>
      <c r="M897" s="79"/>
      <c r="N897" s="79"/>
      <c r="O897" s="79"/>
      <c r="P897" s="79"/>
      <c r="Q897" s="79"/>
      <c r="R897" s="79"/>
    </row>
    <row r="898">
      <c r="A898" s="1"/>
      <c r="B898" s="78"/>
      <c r="C898" s="78"/>
      <c r="D898" s="78"/>
      <c r="E898" s="78"/>
      <c r="M898" s="79"/>
      <c r="N898" s="79"/>
      <c r="O898" s="79"/>
      <c r="P898" s="79"/>
      <c r="Q898" s="79"/>
      <c r="R898" s="79"/>
    </row>
    <row r="899">
      <c r="A899" s="1"/>
      <c r="B899" s="78"/>
      <c r="C899" s="78"/>
      <c r="D899" s="78"/>
      <c r="E899" s="78"/>
      <c r="M899" s="79"/>
      <c r="N899" s="79"/>
      <c r="O899" s="79"/>
      <c r="P899" s="79"/>
      <c r="Q899" s="79"/>
      <c r="R899" s="79"/>
    </row>
    <row r="900">
      <c r="A900" s="1"/>
      <c r="B900" s="78"/>
      <c r="C900" s="78"/>
      <c r="D900" s="78"/>
      <c r="E900" s="78"/>
      <c r="M900" s="79"/>
      <c r="N900" s="79"/>
      <c r="O900" s="79"/>
      <c r="P900" s="79"/>
      <c r="Q900" s="79"/>
      <c r="R900" s="79"/>
    </row>
    <row r="901">
      <c r="A901" s="1"/>
      <c r="B901" s="78"/>
      <c r="C901" s="78"/>
      <c r="D901" s="78"/>
      <c r="E901" s="78"/>
      <c r="M901" s="79"/>
      <c r="N901" s="79"/>
      <c r="O901" s="79"/>
      <c r="P901" s="79"/>
      <c r="Q901" s="79"/>
      <c r="R901" s="79"/>
    </row>
    <row r="902">
      <c r="A902" s="1"/>
      <c r="B902" s="78"/>
      <c r="C902" s="78"/>
      <c r="D902" s="78"/>
      <c r="E902" s="78"/>
      <c r="M902" s="79"/>
      <c r="N902" s="79"/>
      <c r="O902" s="79"/>
      <c r="P902" s="79"/>
      <c r="Q902" s="79"/>
      <c r="R902" s="79"/>
    </row>
    <row r="903">
      <c r="A903" s="1"/>
      <c r="B903" s="78"/>
      <c r="C903" s="78"/>
      <c r="D903" s="78"/>
      <c r="E903" s="78"/>
      <c r="M903" s="79"/>
      <c r="N903" s="79"/>
      <c r="O903" s="79"/>
      <c r="P903" s="79"/>
      <c r="Q903" s="79"/>
      <c r="R903" s="79"/>
    </row>
    <row r="904">
      <c r="A904" s="1"/>
      <c r="B904" s="78"/>
      <c r="C904" s="78"/>
      <c r="D904" s="78"/>
      <c r="E904" s="78"/>
      <c r="M904" s="79"/>
      <c r="N904" s="79"/>
      <c r="O904" s="79"/>
      <c r="P904" s="79"/>
      <c r="Q904" s="79"/>
      <c r="R904" s="79"/>
    </row>
    <row r="905">
      <c r="A905" s="1"/>
      <c r="B905" s="78"/>
      <c r="C905" s="78"/>
      <c r="D905" s="78"/>
      <c r="E905" s="78"/>
      <c r="M905" s="79"/>
      <c r="N905" s="79"/>
      <c r="O905" s="79"/>
      <c r="P905" s="79"/>
      <c r="Q905" s="79"/>
      <c r="R905" s="79"/>
    </row>
    <row r="906">
      <c r="A906" s="1"/>
      <c r="B906" s="78"/>
      <c r="C906" s="78"/>
      <c r="D906" s="78"/>
      <c r="E906" s="78"/>
      <c r="M906" s="79"/>
      <c r="N906" s="79"/>
      <c r="O906" s="79"/>
      <c r="P906" s="79"/>
      <c r="Q906" s="79"/>
      <c r="R906" s="79"/>
    </row>
    <row r="907">
      <c r="A907" s="1"/>
      <c r="B907" s="78"/>
      <c r="C907" s="78"/>
      <c r="D907" s="78"/>
      <c r="E907" s="78"/>
      <c r="M907" s="79"/>
      <c r="N907" s="79"/>
      <c r="O907" s="79"/>
      <c r="P907" s="79"/>
      <c r="Q907" s="79"/>
      <c r="R907" s="79"/>
    </row>
    <row r="908">
      <c r="A908" s="1"/>
      <c r="B908" s="78"/>
      <c r="C908" s="78"/>
      <c r="D908" s="78"/>
      <c r="E908" s="78"/>
      <c r="M908" s="79"/>
      <c r="N908" s="79"/>
      <c r="O908" s="79"/>
      <c r="P908" s="79"/>
      <c r="Q908" s="79"/>
      <c r="R908" s="79"/>
    </row>
    <row r="909">
      <c r="A909" s="1"/>
      <c r="B909" s="78"/>
      <c r="C909" s="78"/>
      <c r="D909" s="78"/>
      <c r="E909" s="78"/>
      <c r="M909" s="79"/>
      <c r="N909" s="79"/>
      <c r="O909" s="79"/>
      <c r="P909" s="79"/>
      <c r="Q909" s="79"/>
      <c r="R909" s="79"/>
    </row>
    <row r="910">
      <c r="A910" s="1"/>
      <c r="B910" s="78"/>
      <c r="C910" s="78"/>
      <c r="D910" s="78"/>
      <c r="E910" s="78"/>
      <c r="M910" s="79"/>
      <c r="N910" s="79"/>
      <c r="O910" s="79"/>
      <c r="P910" s="79"/>
      <c r="Q910" s="79"/>
      <c r="R910" s="79"/>
    </row>
    <row r="911">
      <c r="A911" s="1"/>
      <c r="B911" s="78"/>
      <c r="C911" s="78"/>
      <c r="D911" s="78"/>
      <c r="E911" s="78"/>
      <c r="M911" s="79"/>
      <c r="N911" s="79"/>
      <c r="O911" s="79"/>
      <c r="P911" s="79"/>
      <c r="Q911" s="79"/>
      <c r="R911" s="79"/>
    </row>
    <row r="912">
      <c r="A912" s="1"/>
      <c r="B912" s="78"/>
      <c r="C912" s="78"/>
      <c r="D912" s="78"/>
      <c r="E912" s="78"/>
      <c r="M912" s="79"/>
      <c r="N912" s="79"/>
      <c r="O912" s="79"/>
      <c r="P912" s="79"/>
      <c r="Q912" s="79"/>
      <c r="R912" s="79"/>
    </row>
    <row r="913">
      <c r="A913" s="1"/>
      <c r="B913" s="78"/>
      <c r="C913" s="78"/>
      <c r="D913" s="78"/>
      <c r="E913" s="78"/>
      <c r="M913" s="79"/>
      <c r="N913" s="79"/>
      <c r="O913" s="79"/>
      <c r="P913" s="79"/>
      <c r="Q913" s="79"/>
      <c r="R913" s="79"/>
    </row>
    <row r="914">
      <c r="A914" s="1"/>
      <c r="B914" s="78"/>
      <c r="C914" s="78"/>
      <c r="D914" s="78"/>
      <c r="E914" s="78"/>
      <c r="M914" s="79"/>
      <c r="N914" s="79"/>
      <c r="O914" s="79"/>
      <c r="P914" s="79"/>
      <c r="Q914" s="79"/>
      <c r="R914" s="79"/>
    </row>
    <row r="915">
      <c r="A915" s="1"/>
      <c r="B915" s="78"/>
      <c r="C915" s="78"/>
      <c r="D915" s="78"/>
      <c r="E915" s="78"/>
      <c r="M915" s="79"/>
      <c r="N915" s="79"/>
      <c r="O915" s="79"/>
      <c r="P915" s="79"/>
      <c r="Q915" s="79"/>
      <c r="R915" s="79"/>
    </row>
    <row r="916">
      <c r="A916" s="1"/>
      <c r="B916" s="78"/>
      <c r="C916" s="78"/>
      <c r="D916" s="78"/>
      <c r="E916" s="78"/>
      <c r="M916" s="79"/>
      <c r="N916" s="79"/>
      <c r="O916" s="79"/>
      <c r="P916" s="79"/>
      <c r="Q916" s="79"/>
      <c r="R916" s="79"/>
    </row>
    <row r="917">
      <c r="A917" s="1"/>
      <c r="B917" s="78"/>
      <c r="C917" s="78"/>
      <c r="D917" s="78"/>
      <c r="E917" s="78"/>
      <c r="M917" s="79"/>
      <c r="N917" s="79"/>
      <c r="O917" s="79"/>
      <c r="P917" s="79"/>
      <c r="Q917" s="79"/>
      <c r="R917" s="79"/>
    </row>
    <row r="918">
      <c r="A918" s="1"/>
      <c r="B918" s="78"/>
      <c r="C918" s="78"/>
      <c r="D918" s="78"/>
      <c r="E918" s="78"/>
      <c r="M918" s="79"/>
      <c r="N918" s="79"/>
      <c r="O918" s="79"/>
      <c r="P918" s="79"/>
      <c r="Q918" s="79"/>
      <c r="R918" s="79"/>
    </row>
    <row r="919">
      <c r="A919" s="1"/>
      <c r="B919" s="78"/>
      <c r="C919" s="78"/>
      <c r="D919" s="78"/>
      <c r="E919" s="78"/>
      <c r="M919" s="79"/>
      <c r="N919" s="79"/>
      <c r="O919" s="79"/>
      <c r="P919" s="79"/>
      <c r="Q919" s="79"/>
      <c r="R919" s="79"/>
    </row>
    <row r="920">
      <c r="A920" s="1"/>
      <c r="B920" s="78"/>
      <c r="C920" s="78"/>
      <c r="D920" s="78"/>
      <c r="E920" s="78"/>
      <c r="M920" s="79"/>
      <c r="N920" s="79"/>
      <c r="O920" s="79"/>
      <c r="P920" s="79"/>
      <c r="Q920" s="79"/>
      <c r="R920" s="79"/>
    </row>
    <row r="921">
      <c r="A921" s="1"/>
      <c r="B921" s="78"/>
      <c r="C921" s="78"/>
      <c r="D921" s="78"/>
      <c r="E921" s="78"/>
      <c r="M921" s="79"/>
      <c r="N921" s="79"/>
      <c r="O921" s="79"/>
      <c r="P921" s="79"/>
      <c r="Q921" s="79"/>
      <c r="R921" s="79"/>
    </row>
    <row r="922">
      <c r="A922" s="1"/>
      <c r="B922" s="78"/>
      <c r="C922" s="78"/>
      <c r="D922" s="78"/>
      <c r="E922" s="78"/>
      <c r="M922" s="79"/>
      <c r="N922" s="79"/>
      <c r="O922" s="79"/>
      <c r="P922" s="79"/>
      <c r="Q922" s="79"/>
      <c r="R922" s="79"/>
    </row>
    <row r="923">
      <c r="A923" s="1"/>
      <c r="B923" s="78"/>
      <c r="C923" s="78"/>
      <c r="D923" s="78"/>
      <c r="E923" s="78"/>
      <c r="M923" s="79"/>
      <c r="N923" s="79"/>
      <c r="O923" s="79"/>
      <c r="P923" s="79"/>
      <c r="Q923" s="79"/>
      <c r="R923" s="79"/>
    </row>
    <row r="924">
      <c r="A924" s="1"/>
      <c r="B924" s="78"/>
      <c r="C924" s="78"/>
      <c r="D924" s="78"/>
      <c r="E924" s="78"/>
      <c r="M924" s="79"/>
      <c r="N924" s="79"/>
      <c r="O924" s="79"/>
      <c r="P924" s="79"/>
      <c r="Q924" s="79"/>
      <c r="R924" s="79"/>
    </row>
    <row r="925">
      <c r="A925" s="1"/>
      <c r="B925" s="78"/>
      <c r="C925" s="78"/>
      <c r="D925" s="78"/>
      <c r="E925" s="78"/>
      <c r="M925" s="79"/>
      <c r="N925" s="79"/>
      <c r="O925" s="79"/>
      <c r="P925" s="79"/>
      <c r="Q925" s="79"/>
      <c r="R925" s="79"/>
    </row>
    <row r="926">
      <c r="A926" s="1"/>
      <c r="B926" s="78"/>
      <c r="C926" s="78"/>
      <c r="D926" s="78"/>
      <c r="E926" s="78"/>
      <c r="M926" s="79"/>
      <c r="N926" s="79"/>
      <c r="O926" s="79"/>
      <c r="P926" s="79"/>
      <c r="Q926" s="79"/>
      <c r="R926" s="79"/>
    </row>
    <row r="927">
      <c r="A927" s="1"/>
      <c r="B927" s="78"/>
      <c r="C927" s="78"/>
      <c r="D927" s="78"/>
      <c r="E927" s="78"/>
      <c r="M927" s="79"/>
      <c r="N927" s="79"/>
      <c r="O927" s="79"/>
      <c r="P927" s="79"/>
      <c r="Q927" s="79"/>
      <c r="R927" s="79"/>
    </row>
    <row r="928">
      <c r="A928" s="1"/>
      <c r="B928" s="78"/>
      <c r="C928" s="78"/>
      <c r="D928" s="78"/>
      <c r="E928" s="78"/>
      <c r="M928" s="79"/>
      <c r="N928" s="79"/>
      <c r="O928" s="79"/>
      <c r="P928" s="79"/>
      <c r="Q928" s="79"/>
      <c r="R928" s="79"/>
    </row>
    <row r="929">
      <c r="A929" s="1"/>
      <c r="B929" s="78"/>
      <c r="C929" s="78"/>
      <c r="D929" s="78"/>
      <c r="E929" s="78"/>
      <c r="M929" s="79"/>
      <c r="N929" s="79"/>
      <c r="O929" s="79"/>
      <c r="P929" s="79"/>
      <c r="Q929" s="79"/>
      <c r="R929" s="79"/>
    </row>
    <row r="930">
      <c r="A930" s="1"/>
      <c r="B930" s="78"/>
      <c r="C930" s="78"/>
      <c r="D930" s="78"/>
      <c r="E930" s="78"/>
      <c r="M930" s="79"/>
      <c r="N930" s="79"/>
      <c r="O930" s="79"/>
      <c r="P930" s="79"/>
      <c r="Q930" s="79"/>
      <c r="R930" s="79"/>
    </row>
    <row r="931">
      <c r="A931" s="1"/>
      <c r="B931" s="78"/>
      <c r="C931" s="78"/>
      <c r="D931" s="78"/>
      <c r="E931" s="78"/>
      <c r="M931" s="79"/>
      <c r="N931" s="79"/>
      <c r="O931" s="79"/>
      <c r="P931" s="79"/>
      <c r="Q931" s="79"/>
      <c r="R931" s="79"/>
    </row>
    <row r="932">
      <c r="A932" s="1"/>
      <c r="B932" s="78"/>
      <c r="C932" s="78"/>
      <c r="D932" s="78"/>
      <c r="E932" s="78"/>
      <c r="M932" s="79"/>
      <c r="N932" s="79"/>
      <c r="O932" s="79"/>
      <c r="P932" s="79"/>
      <c r="Q932" s="79"/>
      <c r="R932" s="79"/>
    </row>
    <row r="933">
      <c r="A933" s="1"/>
      <c r="B933" s="78"/>
      <c r="C933" s="78"/>
      <c r="D933" s="78"/>
      <c r="E933" s="78"/>
      <c r="M933" s="79"/>
      <c r="N933" s="79"/>
      <c r="O933" s="79"/>
      <c r="P933" s="79"/>
      <c r="Q933" s="79"/>
      <c r="R933" s="79"/>
    </row>
    <row r="934">
      <c r="A934" s="1"/>
      <c r="B934" s="78"/>
      <c r="C934" s="78"/>
      <c r="D934" s="78"/>
      <c r="E934" s="78"/>
      <c r="M934" s="79"/>
      <c r="N934" s="79"/>
      <c r="O934" s="79"/>
      <c r="P934" s="79"/>
      <c r="Q934" s="79"/>
      <c r="R934" s="79"/>
    </row>
    <row r="935">
      <c r="A935" s="1"/>
      <c r="B935" s="78"/>
      <c r="C935" s="78"/>
      <c r="D935" s="78"/>
      <c r="E935" s="78"/>
      <c r="M935" s="79"/>
      <c r="N935" s="79"/>
      <c r="O935" s="79"/>
      <c r="P935" s="79"/>
      <c r="Q935" s="79"/>
      <c r="R935" s="79"/>
    </row>
    <row r="936">
      <c r="A936" s="1"/>
      <c r="B936" s="78"/>
      <c r="C936" s="78"/>
      <c r="D936" s="78"/>
      <c r="E936" s="78"/>
      <c r="M936" s="79"/>
      <c r="N936" s="79"/>
      <c r="O936" s="79"/>
      <c r="P936" s="79"/>
      <c r="Q936" s="79"/>
      <c r="R936" s="79"/>
    </row>
    <row r="937">
      <c r="A937" s="1"/>
      <c r="B937" s="78"/>
      <c r="C937" s="78"/>
      <c r="D937" s="78"/>
      <c r="E937" s="78"/>
      <c r="M937" s="79"/>
      <c r="N937" s="79"/>
      <c r="O937" s="79"/>
      <c r="P937" s="79"/>
      <c r="Q937" s="79"/>
      <c r="R937" s="79"/>
    </row>
    <row r="938">
      <c r="A938" s="1"/>
      <c r="B938" s="78"/>
      <c r="C938" s="78"/>
      <c r="D938" s="78"/>
      <c r="E938" s="78"/>
      <c r="M938" s="79"/>
      <c r="N938" s="79"/>
      <c r="O938" s="79"/>
      <c r="P938" s="79"/>
      <c r="Q938" s="79"/>
      <c r="R938" s="79"/>
    </row>
    <row r="939">
      <c r="A939" s="1"/>
      <c r="B939" s="78"/>
      <c r="C939" s="78"/>
      <c r="D939" s="78"/>
      <c r="E939" s="78"/>
      <c r="M939" s="79"/>
      <c r="N939" s="79"/>
      <c r="O939" s="79"/>
      <c r="P939" s="79"/>
      <c r="Q939" s="79"/>
      <c r="R939" s="79"/>
    </row>
    <row r="940">
      <c r="A940" s="1"/>
      <c r="B940" s="78"/>
      <c r="C940" s="78"/>
      <c r="D940" s="78"/>
      <c r="E940" s="78"/>
      <c r="M940" s="79"/>
      <c r="N940" s="79"/>
      <c r="O940" s="79"/>
      <c r="P940" s="79"/>
      <c r="Q940" s="79"/>
      <c r="R940" s="79"/>
    </row>
    <row r="941">
      <c r="A941" s="1"/>
      <c r="B941" s="78"/>
      <c r="C941" s="78"/>
      <c r="D941" s="78"/>
      <c r="E941" s="78"/>
      <c r="M941" s="79"/>
      <c r="N941" s="79"/>
      <c r="O941" s="79"/>
      <c r="P941" s="79"/>
      <c r="Q941" s="79"/>
      <c r="R941" s="79"/>
    </row>
    <row r="942">
      <c r="A942" s="1"/>
      <c r="B942" s="78"/>
      <c r="C942" s="78"/>
      <c r="D942" s="78"/>
      <c r="E942" s="78"/>
      <c r="M942" s="79"/>
      <c r="N942" s="79"/>
      <c r="O942" s="79"/>
      <c r="P942" s="79"/>
      <c r="Q942" s="79"/>
      <c r="R942" s="79"/>
    </row>
    <row r="943">
      <c r="A943" s="1"/>
      <c r="B943" s="78"/>
      <c r="C943" s="78"/>
      <c r="D943" s="78"/>
      <c r="E943" s="78"/>
      <c r="M943" s="79"/>
      <c r="N943" s="79"/>
      <c r="O943" s="79"/>
      <c r="P943" s="79"/>
      <c r="Q943" s="79"/>
      <c r="R943" s="79"/>
    </row>
    <row r="944">
      <c r="A944" s="1"/>
      <c r="B944" s="78"/>
      <c r="C944" s="78"/>
      <c r="D944" s="78"/>
      <c r="E944" s="78"/>
      <c r="M944" s="79"/>
      <c r="N944" s="79"/>
      <c r="O944" s="79"/>
      <c r="P944" s="79"/>
      <c r="Q944" s="79"/>
      <c r="R944" s="79"/>
    </row>
    <row r="945">
      <c r="A945" s="1"/>
      <c r="B945" s="78"/>
      <c r="C945" s="78"/>
      <c r="D945" s="78"/>
      <c r="E945" s="78"/>
      <c r="M945" s="79"/>
      <c r="N945" s="79"/>
      <c r="O945" s="79"/>
      <c r="P945" s="79"/>
      <c r="Q945" s="79"/>
      <c r="R945" s="79"/>
    </row>
    <row r="946">
      <c r="A946" s="1"/>
      <c r="B946" s="78"/>
      <c r="C946" s="78"/>
      <c r="D946" s="78"/>
      <c r="E946" s="78"/>
      <c r="M946" s="79"/>
      <c r="N946" s="79"/>
      <c r="O946" s="79"/>
      <c r="P946" s="79"/>
      <c r="Q946" s="79"/>
      <c r="R946" s="79"/>
    </row>
    <row r="947">
      <c r="A947" s="1"/>
      <c r="B947" s="78"/>
      <c r="C947" s="78"/>
      <c r="D947" s="78"/>
      <c r="E947" s="78"/>
      <c r="M947" s="79"/>
      <c r="N947" s="79"/>
      <c r="O947" s="79"/>
      <c r="P947" s="79"/>
      <c r="Q947" s="79"/>
      <c r="R947" s="79"/>
    </row>
    <row r="948">
      <c r="A948" s="1"/>
      <c r="B948" s="78"/>
      <c r="C948" s="78"/>
      <c r="D948" s="78"/>
      <c r="E948" s="78"/>
      <c r="M948" s="79"/>
      <c r="N948" s="79"/>
      <c r="O948" s="79"/>
      <c r="P948" s="79"/>
      <c r="Q948" s="79"/>
      <c r="R948" s="79"/>
    </row>
    <row r="949">
      <c r="A949" s="1"/>
      <c r="B949" s="78"/>
      <c r="C949" s="78"/>
      <c r="D949" s="78"/>
      <c r="E949" s="78"/>
      <c r="M949" s="79"/>
      <c r="N949" s="79"/>
      <c r="O949" s="79"/>
      <c r="P949" s="79"/>
      <c r="Q949" s="79"/>
      <c r="R949" s="79"/>
    </row>
    <row r="950">
      <c r="A950" s="1"/>
      <c r="B950" s="78"/>
      <c r="C950" s="78"/>
      <c r="D950" s="78"/>
      <c r="E950" s="78"/>
      <c r="M950" s="79"/>
      <c r="N950" s="79"/>
      <c r="O950" s="79"/>
      <c r="P950" s="79"/>
      <c r="Q950" s="79"/>
      <c r="R950" s="79"/>
    </row>
    <row r="951">
      <c r="A951" s="1"/>
      <c r="B951" s="78"/>
      <c r="C951" s="78"/>
      <c r="D951" s="78"/>
      <c r="E951" s="78"/>
      <c r="M951" s="79"/>
      <c r="N951" s="79"/>
      <c r="O951" s="79"/>
      <c r="P951" s="79"/>
      <c r="Q951" s="79"/>
      <c r="R951" s="79"/>
    </row>
    <row r="952">
      <c r="A952" s="1"/>
      <c r="B952" s="78"/>
      <c r="C952" s="78"/>
      <c r="D952" s="78"/>
      <c r="E952" s="78"/>
      <c r="M952" s="79"/>
      <c r="N952" s="79"/>
      <c r="O952" s="79"/>
      <c r="P952" s="79"/>
      <c r="Q952" s="79"/>
      <c r="R952" s="79"/>
    </row>
    <row r="953">
      <c r="A953" s="1"/>
      <c r="B953" s="78"/>
      <c r="C953" s="78"/>
      <c r="D953" s="78"/>
      <c r="E953" s="78"/>
      <c r="M953" s="79"/>
      <c r="N953" s="79"/>
      <c r="O953" s="79"/>
      <c r="P953" s="79"/>
      <c r="Q953" s="79"/>
      <c r="R953" s="79"/>
    </row>
    <row r="954">
      <c r="A954" s="1"/>
      <c r="B954" s="78"/>
      <c r="C954" s="78"/>
      <c r="D954" s="78"/>
      <c r="E954" s="78"/>
      <c r="M954" s="79"/>
      <c r="N954" s="79"/>
      <c r="O954" s="79"/>
      <c r="P954" s="79"/>
      <c r="Q954" s="79"/>
      <c r="R954" s="79"/>
    </row>
    <row r="955">
      <c r="A955" s="1"/>
      <c r="B955" s="78"/>
      <c r="C955" s="78"/>
      <c r="D955" s="78"/>
      <c r="E955" s="78"/>
      <c r="M955" s="79"/>
      <c r="N955" s="79"/>
      <c r="O955" s="79"/>
      <c r="P955" s="79"/>
      <c r="Q955" s="79"/>
      <c r="R955" s="79"/>
    </row>
    <row r="956">
      <c r="A956" s="1"/>
      <c r="B956" s="78"/>
      <c r="C956" s="78"/>
      <c r="D956" s="78"/>
      <c r="E956" s="78"/>
      <c r="M956" s="79"/>
      <c r="N956" s="79"/>
      <c r="O956" s="79"/>
      <c r="P956" s="79"/>
      <c r="Q956" s="79"/>
      <c r="R956" s="79"/>
    </row>
    <row r="957">
      <c r="A957" s="1"/>
      <c r="B957" s="78"/>
      <c r="C957" s="78"/>
      <c r="D957" s="78"/>
      <c r="E957" s="78"/>
      <c r="M957" s="79"/>
      <c r="N957" s="79"/>
      <c r="O957" s="79"/>
      <c r="P957" s="79"/>
      <c r="Q957" s="79"/>
      <c r="R957" s="79"/>
    </row>
    <row r="958">
      <c r="A958" s="1"/>
      <c r="B958" s="78"/>
      <c r="C958" s="78"/>
      <c r="D958" s="78"/>
      <c r="E958" s="78"/>
      <c r="M958" s="79"/>
      <c r="N958" s="79"/>
      <c r="O958" s="79"/>
      <c r="P958" s="79"/>
      <c r="Q958" s="79"/>
      <c r="R958" s="79"/>
    </row>
    <row r="959">
      <c r="A959" s="1"/>
      <c r="B959" s="78"/>
      <c r="C959" s="78"/>
      <c r="D959" s="78"/>
      <c r="E959" s="78"/>
      <c r="M959" s="79"/>
      <c r="N959" s="79"/>
      <c r="O959" s="79"/>
      <c r="P959" s="79"/>
      <c r="Q959" s="79"/>
      <c r="R959" s="79"/>
    </row>
    <row r="960">
      <c r="A960" s="1"/>
      <c r="B960" s="78"/>
      <c r="C960" s="78"/>
      <c r="D960" s="78"/>
      <c r="E960" s="78"/>
      <c r="M960" s="79"/>
      <c r="N960" s="79"/>
      <c r="O960" s="79"/>
      <c r="P960" s="79"/>
      <c r="Q960" s="79"/>
      <c r="R960" s="79"/>
    </row>
    <row r="961">
      <c r="A961" s="1"/>
      <c r="B961" s="78"/>
      <c r="C961" s="78"/>
      <c r="D961" s="78"/>
      <c r="E961" s="78"/>
      <c r="M961" s="79"/>
      <c r="N961" s="79"/>
      <c r="O961" s="79"/>
      <c r="P961" s="79"/>
      <c r="Q961" s="79"/>
      <c r="R961" s="79"/>
    </row>
    <row r="962">
      <c r="A962" s="1"/>
      <c r="B962" s="78"/>
      <c r="C962" s="78"/>
      <c r="D962" s="78"/>
      <c r="E962" s="78"/>
      <c r="M962" s="79"/>
      <c r="N962" s="79"/>
      <c r="O962" s="79"/>
      <c r="P962" s="79"/>
      <c r="Q962" s="79"/>
      <c r="R962" s="79"/>
    </row>
    <row r="963">
      <c r="A963" s="1"/>
      <c r="B963" s="78"/>
      <c r="C963" s="78"/>
      <c r="D963" s="78"/>
      <c r="E963" s="78"/>
      <c r="M963" s="79"/>
      <c r="N963" s="79"/>
      <c r="O963" s="79"/>
      <c r="P963" s="79"/>
      <c r="Q963" s="79"/>
      <c r="R963" s="79"/>
    </row>
    <row r="964">
      <c r="A964" s="1"/>
      <c r="B964" s="78"/>
      <c r="C964" s="78"/>
      <c r="D964" s="78"/>
      <c r="E964" s="78"/>
      <c r="M964" s="79"/>
      <c r="N964" s="79"/>
      <c r="O964" s="79"/>
      <c r="P964" s="79"/>
      <c r="Q964" s="79"/>
      <c r="R964" s="79"/>
    </row>
    <row r="965">
      <c r="A965" s="1"/>
      <c r="B965" s="78"/>
      <c r="C965" s="78"/>
      <c r="D965" s="78"/>
      <c r="E965" s="78"/>
      <c r="M965" s="79"/>
      <c r="N965" s="79"/>
      <c r="O965" s="79"/>
      <c r="P965" s="79"/>
      <c r="Q965" s="79"/>
      <c r="R965" s="79"/>
    </row>
    <row r="966">
      <c r="A966" s="1"/>
      <c r="B966" s="78"/>
      <c r="C966" s="78"/>
      <c r="D966" s="78"/>
      <c r="E966" s="78"/>
      <c r="M966" s="79"/>
      <c r="N966" s="79"/>
      <c r="O966" s="79"/>
      <c r="P966" s="79"/>
      <c r="Q966" s="79"/>
      <c r="R966" s="79"/>
    </row>
    <row r="967">
      <c r="A967" s="1"/>
      <c r="B967" s="78"/>
      <c r="C967" s="78"/>
      <c r="D967" s="78"/>
      <c r="E967" s="78"/>
      <c r="M967" s="79"/>
      <c r="N967" s="79"/>
      <c r="O967" s="79"/>
      <c r="P967" s="79"/>
      <c r="Q967" s="79"/>
      <c r="R967" s="79"/>
    </row>
    <row r="968">
      <c r="A968" s="1"/>
      <c r="B968" s="78"/>
      <c r="C968" s="78"/>
      <c r="D968" s="78"/>
      <c r="E968" s="78"/>
      <c r="M968" s="79"/>
      <c r="N968" s="79"/>
      <c r="O968" s="79"/>
      <c r="P968" s="79"/>
      <c r="Q968" s="79"/>
      <c r="R968" s="79"/>
    </row>
    <row r="969">
      <c r="A969" s="1"/>
      <c r="B969" s="78"/>
      <c r="C969" s="78"/>
      <c r="D969" s="78"/>
      <c r="E969" s="78"/>
      <c r="M969" s="79"/>
      <c r="N969" s="79"/>
      <c r="O969" s="79"/>
      <c r="P969" s="79"/>
      <c r="Q969" s="79"/>
      <c r="R969" s="79"/>
    </row>
    <row r="970">
      <c r="A970" s="1"/>
      <c r="B970" s="78"/>
      <c r="C970" s="78"/>
      <c r="D970" s="78"/>
      <c r="E970" s="78"/>
      <c r="M970" s="79"/>
      <c r="N970" s="79"/>
      <c r="O970" s="79"/>
      <c r="P970" s="79"/>
      <c r="Q970" s="79"/>
      <c r="R970" s="79"/>
    </row>
    <row r="971">
      <c r="A971" s="1"/>
      <c r="B971" s="78"/>
      <c r="C971" s="78"/>
      <c r="D971" s="78"/>
      <c r="E971" s="78"/>
      <c r="M971" s="79"/>
      <c r="N971" s="79"/>
      <c r="O971" s="79"/>
      <c r="P971" s="79"/>
      <c r="Q971" s="79"/>
      <c r="R971" s="79"/>
    </row>
    <row r="972">
      <c r="A972" s="1"/>
      <c r="B972" s="78"/>
      <c r="C972" s="78"/>
      <c r="D972" s="78"/>
      <c r="E972" s="78"/>
      <c r="M972" s="79"/>
      <c r="N972" s="79"/>
      <c r="O972" s="79"/>
      <c r="P972" s="79"/>
      <c r="Q972" s="79"/>
      <c r="R972" s="79"/>
    </row>
    <row r="973">
      <c r="A973" s="1"/>
      <c r="B973" s="78"/>
      <c r="C973" s="78"/>
      <c r="D973" s="78"/>
      <c r="E973" s="78"/>
      <c r="M973" s="79"/>
      <c r="N973" s="79"/>
      <c r="O973" s="79"/>
      <c r="P973" s="79"/>
      <c r="Q973" s="79"/>
      <c r="R973" s="79"/>
    </row>
    <row r="974">
      <c r="A974" s="1"/>
      <c r="B974" s="78"/>
      <c r="C974" s="78"/>
      <c r="D974" s="78"/>
      <c r="E974" s="78"/>
      <c r="M974" s="79"/>
      <c r="N974" s="79"/>
      <c r="O974" s="79"/>
      <c r="P974" s="79"/>
      <c r="Q974" s="79"/>
      <c r="R974" s="79"/>
    </row>
    <row r="975">
      <c r="A975" s="1"/>
      <c r="B975" s="78"/>
      <c r="C975" s="78"/>
      <c r="D975" s="78"/>
      <c r="E975" s="78"/>
      <c r="M975" s="79"/>
      <c r="N975" s="79"/>
      <c r="O975" s="79"/>
      <c r="P975" s="79"/>
      <c r="Q975" s="79"/>
      <c r="R975" s="79"/>
    </row>
    <row r="976">
      <c r="A976" s="1"/>
      <c r="B976" s="78"/>
      <c r="C976" s="78"/>
      <c r="D976" s="78"/>
      <c r="E976" s="78"/>
      <c r="M976" s="79"/>
      <c r="N976" s="79"/>
      <c r="O976" s="79"/>
      <c r="P976" s="79"/>
      <c r="Q976" s="79"/>
      <c r="R976" s="79"/>
    </row>
    <row r="977">
      <c r="A977" s="1"/>
      <c r="B977" s="78"/>
      <c r="C977" s="78"/>
      <c r="D977" s="78"/>
      <c r="E977" s="78"/>
      <c r="M977" s="79"/>
      <c r="N977" s="79"/>
      <c r="O977" s="79"/>
      <c r="P977" s="79"/>
      <c r="Q977" s="79"/>
      <c r="R977" s="79"/>
    </row>
    <row r="978">
      <c r="A978" s="1"/>
      <c r="B978" s="78"/>
      <c r="C978" s="78"/>
      <c r="D978" s="78"/>
      <c r="E978" s="78"/>
      <c r="M978" s="79"/>
      <c r="N978" s="79"/>
      <c r="O978" s="79"/>
      <c r="P978" s="79"/>
      <c r="Q978" s="79"/>
      <c r="R978" s="79"/>
    </row>
    <row r="979">
      <c r="A979" s="1"/>
      <c r="B979" s="78"/>
      <c r="C979" s="78"/>
      <c r="D979" s="78"/>
      <c r="E979" s="78"/>
      <c r="M979" s="79"/>
      <c r="N979" s="79"/>
      <c r="O979" s="79"/>
      <c r="P979" s="79"/>
      <c r="Q979" s="79"/>
      <c r="R979" s="79"/>
    </row>
    <row r="980">
      <c r="A980" s="1"/>
      <c r="B980" s="78"/>
      <c r="C980" s="78"/>
      <c r="D980" s="78"/>
      <c r="E980" s="78"/>
      <c r="M980" s="79"/>
      <c r="N980" s="79"/>
      <c r="O980" s="79"/>
      <c r="P980" s="79"/>
      <c r="Q980" s="79"/>
      <c r="R980" s="79"/>
    </row>
    <row r="981">
      <c r="A981" s="1"/>
      <c r="B981" s="78"/>
      <c r="C981" s="78"/>
      <c r="D981" s="78"/>
      <c r="E981" s="78"/>
      <c r="M981" s="79"/>
      <c r="N981" s="79"/>
      <c r="O981" s="79"/>
      <c r="P981" s="79"/>
      <c r="Q981" s="79"/>
      <c r="R981" s="79"/>
    </row>
    <row r="982">
      <c r="A982" s="1"/>
      <c r="B982" s="78"/>
      <c r="C982" s="78"/>
      <c r="D982" s="78"/>
      <c r="E982" s="78"/>
      <c r="M982" s="79"/>
      <c r="N982" s="79"/>
      <c r="O982" s="79"/>
      <c r="P982" s="79"/>
      <c r="Q982" s="79"/>
      <c r="R982" s="79"/>
    </row>
    <row r="983">
      <c r="A983" s="1"/>
      <c r="B983" s="78"/>
      <c r="C983" s="78"/>
      <c r="D983" s="78"/>
      <c r="E983" s="78"/>
      <c r="M983" s="79"/>
      <c r="N983" s="79"/>
      <c r="O983" s="79"/>
      <c r="P983" s="79"/>
      <c r="Q983" s="79"/>
      <c r="R983" s="79"/>
    </row>
    <row r="984">
      <c r="A984" s="1"/>
      <c r="B984" s="78"/>
      <c r="C984" s="78"/>
      <c r="D984" s="78"/>
      <c r="E984" s="78"/>
      <c r="M984" s="79"/>
      <c r="N984" s="79"/>
      <c r="O984" s="79"/>
      <c r="P984" s="79"/>
      <c r="Q984" s="79"/>
      <c r="R984" s="79"/>
    </row>
    <row r="985">
      <c r="A985" s="1"/>
      <c r="B985" s="78"/>
      <c r="C985" s="78"/>
      <c r="D985" s="78"/>
      <c r="E985" s="78"/>
      <c r="M985" s="79"/>
      <c r="N985" s="79"/>
      <c r="O985" s="79"/>
      <c r="P985" s="79"/>
      <c r="Q985" s="79"/>
      <c r="R985" s="79"/>
    </row>
    <row r="986">
      <c r="A986" s="1"/>
      <c r="B986" s="78"/>
      <c r="C986" s="78"/>
      <c r="D986" s="78"/>
      <c r="E986" s="78"/>
      <c r="M986" s="79"/>
      <c r="N986" s="79"/>
      <c r="O986" s="79"/>
      <c r="P986" s="79"/>
      <c r="Q986" s="79"/>
      <c r="R986" s="79"/>
    </row>
    <row r="987">
      <c r="A987" s="1"/>
      <c r="B987" s="78"/>
      <c r="C987" s="78"/>
      <c r="D987" s="78"/>
      <c r="E987" s="78"/>
      <c r="M987" s="79"/>
      <c r="N987" s="79"/>
      <c r="O987" s="79"/>
      <c r="P987" s="79"/>
      <c r="Q987" s="79"/>
      <c r="R987" s="79"/>
    </row>
    <row r="988">
      <c r="A988" s="1"/>
      <c r="B988" s="78"/>
      <c r="C988" s="78"/>
      <c r="D988" s="78"/>
      <c r="E988" s="78"/>
      <c r="M988" s="79"/>
      <c r="N988" s="79"/>
      <c r="O988" s="79"/>
      <c r="P988" s="79"/>
      <c r="Q988" s="79"/>
      <c r="R988" s="79"/>
    </row>
    <row r="989">
      <c r="A989" s="1"/>
      <c r="B989" s="78"/>
      <c r="C989" s="78"/>
      <c r="D989" s="78"/>
      <c r="E989" s="78"/>
      <c r="M989" s="79"/>
      <c r="N989" s="79"/>
      <c r="O989" s="79"/>
      <c r="P989" s="79"/>
      <c r="Q989" s="79"/>
      <c r="R989" s="79"/>
    </row>
    <row r="990">
      <c r="A990" s="1"/>
      <c r="B990" s="78"/>
      <c r="C990" s="78"/>
      <c r="D990" s="78"/>
      <c r="E990" s="78"/>
      <c r="M990" s="79"/>
      <c r="N990" s="79"/>
      <c r="O990" s="79"/>
      <c r="P990" s="79"/>
      <c r="Q990" s="79"/>
      <c r="R990" s="79"/>
    </row>
    <row r="991">
      <c r="A991" s="1"/>
      <c r="B991" s="78"/>
      <c r="C991" s="78"/>
      <c r="D991" s="78"/>
      <c r="E991" s="78"/>
      <c r="M991" s="79"/>
      <c r="N991" s="79"/>
      <c r="O991" s="79"/>
      <c r="P991" s="79"/>
      <c r="Q991" s="79"/>
      <c r="R991" s="79"/>
    </row>
    <row r="992">
      <c r="A992" s="1"/>
      <c r="B992" s="78"/>
      <c r="C992" s="78"/>
      <c r="D992" s="78"/>
      <c r="E992" s="78"/>
      <c r="M992" s="79"/>
      <c r="N992" s="79"/>
      <c r="O992" s="79"/>
      <c r="P992" s="79"/>
      <c r="Q992" s="79"/>
      <c r="R992" s="79"/>
    </row>
    <row r="993">
      <c r="A993" s="1"/>
      <c r="B993" s="78"/>
      <c r="C993" s="78"/>
      <c r="D993" s="78"/>
      <c r="E993" s="78"/>
      <c r="M993" s="79"/>
      <c r="N993" s="79"/>
      <c r="O993" s="79"/>
      <c r="P993" s="79"/>
      <c r="Q993" s="79"/>
      <c r="R993" s="79"/>
    </row>
    <row r="994">
      <c r="A994" s="1"/>
      <c r="B994" s="78"/>
      <c r="C994" s="78"/>
      <c r="D994" s="78"/>
      <c r="E994" s="78"/>
      <c r="M994" s="79"/>
      <c r="N994" s="79"/>
      <c r="O994" s="79"/>
      <c r="P994" s="79"/>
      <c r="Q994" s="79"/>
      <c r="R994" s="79"/>
    </row>
    <row r="995">
      <c r="A995" s="1"/>
      <c r="B995" s="78"/>
      <c r="C995" s="78"/>
      <c r="D995" s="78"/>
      <c r="E995" s="78"/>
      <c r="M995" s="79"/>
      <c r="N995" s="79"/>
      <c r="O995" s="79"/>
      <c r="P995" s="79"/>
      <c r="Q995" s="79"/>
      <c r="R995" s="79"/>
    </row>
    <row r="996">
      <c r="A996" s="1"/>
      <c r="B996" s="78"/>
      <c r="C996" s="78"/>
      <c r="D996" s="78"/>
      <c r="E996" s="78"/>
      <c r="M996" s="79"/>
      <c r="N996" s="79"/>
      <c r="O996" s="79"/>
      <c r="P996" s="79"/>
      <c r="Q996" s="79"/>
      <c r="R996" s="79"/>
    </row>
    <row r="997">
      <c r="A997" s="1"/>
      <c r="B997" s="78"/>
      <c r="C997" s="78"/>
      <c r="D997" s="78"/>
      <c r="E997" s="78"/>
      <c r="M997" s="79"/>
      <c r="N997" s="79"/>
      <c r="O997" s="79"/>
      <c r="P997" s="79"/>
      <c r="Q997" s="79"/>
      <c r="R997" s="79"/>
    </row>
    <row r="998">
      <c r="A998" s="1"/>
      <c r="B998" s="78"/>
      <c r="C998" s="78"/>
      <c r="D998" s="78"/>
      <c r="E998" s="78"/>
      <c r="M998" s="79"/>
      <c r="N998" s="79"/>
      <c r="O998" s="79"/>
      <c r="P998" s="79"/>
      <c r="Q998" s="79"/>
      <c r="R998" s="79"/>
    </row>
    <row r="999">
      <c r="A999" s="1"/>
      <c r="B999" s="78"/>
      <c r="C999" s="78"/>
      <c r="D999" s="78"/>
      <c r="E999" s="78"/>
      <c r="M999" s="79"/>
      <c r="N999" s="79"/>
      <c r="O999" s="79"/>
      <c r="P999" s="79"/>
      <c r="Q999" s="79"/>
      <c r="R999" s="79"/>
    </row>
    <row r="1000">
      <c r="A1000" s="1"/>
      <c r="B1000" s="78"/>
      <c r="C1000" s="78"/>
      <c r="D1000" s="78"/>
      <c r="E1000" s="78"/>
      <c r="M1000" s="79"/>
      <c r="N1000" s="79"/>
      <c r="O1000" s="79"/>
      <c r="P1000" s="79"/>
      <c r="Q1000" s="79"/>
      <c r="R1000" s="79"/>
    </row>
    <row r="1001">
      <c r="A1001" s="1"/>
      <c r="B1001" s="78"/>
      <c r="C1001" s="78"/>
      <c r="D1001" s="78"/>
      <c r="E1001" s="78"/>
      <c r="M1001" s="79"/>
      <c r="N1001" s="79"/>
      <c r="O1001" s="79"/>
      <c r="P1001" s="79"/>
      <c r="Q1001" s="79"/>
      <c r="R1001" s="79"/>
    </row>
    <row r="1002">
      <c r="A1002" s="1"/>
      <c r="B1002" s="78"/>
      <c r="C1002" s="78"/>
      <c r="D1002" s="78"/>
      <c r="E1002" s="78"/>
      <c r="M1002" s="79"/>
      <c r="N1002" s="79"/>
      <c r="O1002" s="79"/>
      <c r="P1002" s="79"/>
      <c r="Q1002" s="79"/>
      <c r="R1002" s="79"/>
    </row>
    <row r="1003">
      <c r="A1003" s="1"/>
      <c r="B1003" s="78"/>
      <c r="C1003" s="78"/>
      <c r="D1003" s="78"/>
      <c r="E1003" s="78"/>
      <c r="M1003" s="79"/>
      <c r="N1003" s="79"/>
      <c r="O1003" s="79"/>
      <c r="P1003" s="79"/>
      <c r="Q1003" s="79"/>
      <c r="R1003" s="79"/>
    </row>
    <row r="1004">
      <c r="A1004" s="1"/>
      <c r="B1004" s="78"/>
      <c r="C1004" s="78"/>
      <c r="D1004" s="78"/>
      <c r="E1004" s="78"/>
      <c r="M1004" s="79"/>
      <c r="N1004" s="79"/>
      <c r="O1004" s="79"/>
      <c r="P1004" s="79"/>
      <c r="Q1004" s="79"/>
      <c r="R1004" s="79"/>
    </row>
    <row r="1005">
      <c r="A1005" s="1"/>
      <c r="B1005" s="78"/>
      <c r="C1005" s="78"/>
      <c r="D1005" s="78"/>
      <c r="E1005" s="78"/>
      <c r="M1005" s="79"/>
      <c r="N1005" s="79"/>
      <c r="O1005" s="79"/>
      <c r="P1005" s="79"/>
      <c r="Q1005" s="79"/>
      <c r="R1005" s="79"/>
    </row>
    <row r="1006">
      <c r="A1006" s="1"/>
      <c r="B1006" s="78"/>
      <c r="C1006" s="78"/>
      <c r="D1006" s="78"/>
      <c r="E1006" s="78"/>
      <c r="M1006" s="79"/>
      <c r="N1006" s="79"/>
      <c r="O1006" s="79"/>
      <c r="P1006" s="79"/>
      <c r="Q1006" s="79"/>
      <c r="R1006" s="79"/>
    </row>
    <row r="1007">
      <c r="A1007" s="1"/>
      <c r="B1007" s="78"/>
      <c r="C1007" s="78"/>
      <c r="D1007" s="78"/>
      <c r="E1007" s="78"/>
      <c r="M1007" s="79"/>
      <c r="N1007" s="79"/>
      <c r="O1007" s="79"/>
      <c r="P1007" s="79"/>
      <c r="Q1007" s="79"/>
      <c r="R1007" s="79"/>
    </row>
    <row r="1008">
      <c r="A1008" s="1"/>
      <c r="B1008" s="78"/>
      <c r="C1008" s="78"/>
      <c r="D1008" s="78"/>
      <c r="E1008" s="78"/>
      <c r="M1008" s="79"/>
      <c r="N1008" s="79"/>
      <c r="O1008" s="79"/>
      <c r="P1008" s="79"/>
      <c r="Q1008" s="79"/>
      <c r="R1008" s="79"/>
    </row>
    <row r="1009">
      <c r="A1009" s="1"/>
      <c r="B1009" s="78"/>
      <c r="C1009" s="78"/>
      <c r="D1009" s="78"/>
      <c r="E1009" s="78"/>
      <c r="M1009" s="79"/>
      <c r="N1009" s="79"/>
      <c r="O1009" s="79"/>
      <c r="P1009" s="79"/>
      <c r="Q1009" s="79"/>
      <c r="R1009" s="79"/>
    </row>
    <row r="1010">
      <c r="A1010" s="1"/>
      <c r="B1010" s="78"/>
      <c r="C1010" s="78"/>
      <c r="D1010" s="78"/>
      <c r="E1010" s="78"/>
      <c r="M1010" s="79"/>
      <c r="N1010" s="79"/>
      <c r="O1010" s="79"/>
      <c r="P1010" s="79"/>
      <c r="Q1010" s="79"/>
      <c r="R1010" s="79"/>
    </row>
    <row r="1011">
      <c r="A1011" s="1"/>
      <c r="B1011" s="78"/>
      <c r="C1011" s="78"/>
      <c r="D1011" s="78"/>
      <c r="E1011" s="78"/>
      <c r="M1011" s="79"/>
      <c r="N1011" s="79"/>
      <c r="O1011" s="79"/>
      <c r="P1011" s="79"/>
      <c r="Q1011" s="79"/>
      <c r="R1011" s="79"/>
    </row>
    <row r="1012">
      <c r="A1012" s="1"/>
      <c r="B1012" s="78"/>
      <c r="C1012" s="78"/>
      <c r="D1012" s="78"/>
      <c r="E1012" s="78"/>
      <c r="M1012" s="79"/>
      <c r="N1012" s="79"/>
      <c r="O1012" s="79"/>
      <c r="P1012" s="79"/>
      <c r="Q1012" s="79"/>
      <c r="R1012" s="79"/>
    </row>
    <row r="1013">
      <c r="A1013" s="1"/>
      <c r="B1013" s="78"/>
      <c r="C1013" s="78"/>
      <c r="D1013" s="78"/>
      <c r="E1013" s="78"/>
      <c r="M1013" s="79"/>
      <c r="N1013" s="79"/>
      <c r="O1013" s="79"/>
      <c r="P1013" s="79"/>
      <c r="Q1013" s="79"/>
      <c r="R1013" s="79"/>
    </row>
    <row r="1014">
      <c r="A1014" s="1"/>
      <c r="B1014" s="78"/>
      <c r="C1014" s="78"/>
      <c r="D1014" s="78"/>
      <c r="E1014" s="78"/>
      <c r="M1014" s="79"/>
      <c r="N1014" s="79"/>
      <c r="O1014" s="79"/>
      <c r="P1014" s="79"/>
      <c r="Q1014" s="79"/>
      <c r="R1014" s="79"/>
    </row>
    <row r="1015">
      <c r="A1015" s="1"/>
      <c r="B1015" s="78"/>
      <c r="C1015" s="78"/>
      <c r="D1015" s="78"/>
      <c r="E1015" s="78"/>
      <c r="M1015" s="79"/>
      <c r="N1015" s="79"/>
      <c r="O1015" s="79"/>
      <c r="P1015" s="79"/>
      <c r="Q1015" s="79"/>
      <c r="R1015" s="79"/>
    </row>
    <row r="1016">
      <c r="A1016" s="1"/>
      <c r="B1016" s="78"/>
      <c r="C1016" s="78"/>
      <c r="D1016" s="78"/>
      <c r="E1016" s="78"/>
      <c r="M1016" s="79"/>
      <c r="N1016" s="79"/>
      <c r="O1016" s="79"/>
      <c r="P1016" s="79"/>
      <c r="Q1016" s="79"/>
      <c r="R1016" s="79"/>
    </row>
    <row r="1017">
      <c r="A1017" s="1"/>
      <c r="B1017" s="78"/>
      <c r="C1017" s="78"/>
      <c r="D1017" s="78"/>
      <c r="E1017" s="78"/>
      <c r="M1017" s="79"/>
      <c r="N1017" s="79"/>
      <c r="O1017" s="79"/>
      <c r="P1017" s="79"/>
      <c r="Q1017" s="79"/>
      <c r="R1017" s="79"/>
    </row>
    <row r="1018">
      <c r="A1018" s="1"/>
      <c r="B1018" s="78"/>
      <c r="C1018" s="78"/>
      <c r="D1018" s="78"/>
      <c r="E1018" s="78"/>
      <c r="M1018" s="79"/>
      <c r="N1018" s="79"/>
      <c r="O1018" s="79"/>
      <c r="P1018" s="79"/>
      <c r="Q1018" s="79"/>
      <c r="R1018" s="79"/>
    </row>
    <row r="1019">
      <c r="A1019" s="1"/>
      <c r="B1019" s="78"/>
      <c r="C1019" s="78"/>
      <c r="D1019" s="78"/>
      <c r="E1019" s="78"/>
      <c r="M1019" s="79"/>
      <c r="N1019" s="79"/>
      <c r="O1019" s="79"/>
      <c r="P1019" s="79"/>
      <c r="Q1019" s="79"/>
      <c r="R1019" s="79"/>
    </row>
    <row r="1020">
      <c r="A1020" s="1"/>
      <c r="B1020" s="78"/>
      <c r="C1020" s="78"/>
      <c r="D1020" s="78"/>
      <c r="E1020" s="78"/>
      <c r="M1020" s="79"/>
      <c r="N1020" s="79"/>
      <c r="O1020" s="79"/>
      <c r="P1020" s="79"/>
      <c r="Q1020" s="79"/>
      <c r="R1020" s="79"/>
    </row>
    <row r="1021">
      <c r="A1021" s="1"/>
      <c r="B1021" s="78"/>
      <c r="C1021" s="78"/>
      <c r="D1021" s="78"/>
      <c r="E1021" s="78"/>
      <c r="M1021" s="79"/>
      <c r="N1021" s="79"/>
      <c r="O1021" s="79"/>
      <c r="P1021" s="79"/>
      <c r="Q1021" s="79"/>
      <c r="R1021" s="79"/>
    </row>
    <row r="1022">
      <c r="A1022" s="1"/>
      <c r="B1022" s="78"/>
      <c r="C1022" s="78"/>
      <c r="D1022" s="78"/>
      <c r="E1022" s="78"/>
      <c r="M1022" s="79"/>
      <c r="N1022" s="79"/>
      <c r="O1022" s="79"/>
      <c r="P1022" s="79"/>
      <c r="Q1022" s="79"/>
      <c r="R1022" s="79"/>
    </row>
    <row r="1023">
      <c r="A1023" s="1"/>
      <c r="B1023" s="78"/>
      <c r="C1023" s="78"/>
      <c r="D1023" s="78"/>
      <c r="E1023" s="78"/>
      <c r="M1023" s="79"/>
      <c r="N1023" s="79"/>
      <c r="O1023" s="79"/>
      <c r="P1023" s="79"/>
      <c r="Q1023" s="79"/>
      <c r="R1023" s="79"/>
    </row>
    <row r="1024">
      <c r="A1024" s="1"/>
      <c r="B1024" s="78"/>
      <c r="C1024" s="78"/>
      <c r="D1024" s="78"/>
      <c r="E1024" s="78"/>
      <c r="M1024" s="79"/>
      <c r="N1024" s="79"/>
      <c r="O1024" s="79"/>
      <c r="P1024" s="79"/>
      <c r="Q1024" s="79"/>
      <c r="R1024" s="79"/>
    </row>
    <row r="1025">
      <c r="A1025" s="1"/>
      <c r="B1025" s="78"/>
      <c r="C1025" s="78"/>
      <c r="D1025" s="78"/>
      <c r="E1025" s="78"/>
      <c r="M1025" s="79"/>
      <c r="N1025" s="79"/>
      <c r="O1025" s="79"/>
      <c r="P1025" s="79"/>
      <c r="Q1025" s="79"/>
      <c r="R1025" s="79"/>
    </row>
    <row r="1026">
      <c r="A1026" s="1"/>
      <c r="B1026" s="78"/>
      <c r="C1026" s="78"/>
      <c r="D1026" s="78"/>
      <c r="E1026" s="78"/>
      <c r="M1026" s="79"/>
      <c r="N1026" s="79"/>
      <c r="O1026" s="79"/>
      <c r="P1026" s="79"/>
      <c r="Q1026" s="79"/>
      <c r="R1026" s="79"/>
    </row>
    <row r="1027">
      <c r="A1027" s="1"/>
      <c r="B1027" s="78"/>
      <c r="C1027" s="78"/>
      <c r="D1027" s="78"/>
      <c r="E1027" s="78"/>
      <c r="M1027" s="79"/>
      <c r="N1027" s="79"/>
      <c r="O1027" s="79"/>
      <c r="P1027" s="79"/>
      <c r="Q1027" s="79"/>
      <c r="R1027" s="79"/>
    </row>
    <row r="1028">
      <c r="A1028" s="1"/>
      <c r="B1028" s="78"/>
      <c r="C1028" s="78"/>
      <c r="D1028" s="78"/>
      <c r="E1028" s="78"/>
      <c r="M1028" s="79"/>
      <c r="N1028" s="79"/>
      <c r="O1028" s="79"/>
      <c r="P1028" s="79"/>
      <c r="Q1028" s="79"/>
      <c r="R1028" s="79"/>
    </row>
    <row r="1029">
      <c r="A1029" s="1"/>
      <c r="B1029" s="78"/>
      <c r="C1029" s="78"/>
      <c r="D1029" s="78"/>
      <c r="E1029" s="78"/>
      <c r="M1029" s="79"/>
      <c r="N1029" s="79"/>
      <c r="O1029" s="79"/>
      <c r="P1029" s="79"/>
      <c r="Q1029" s="79"/>
      <c r="R1029" s="79"/>
    </row>
    <row r="1030">
      <c r="A1030" s="1"/>
      <c r="B1030" s="78"/>
      <c r="C1030" s="78"/>
      <c r="D1030" s="78"/>
      <c r="E1030" s="78"/>
      <c r="M1030" s="79"/>
      <c r="N1030" s="79"/>
      <c r="O1030" s="79"/>
      <c r="P1030" s="79"/>
      <c r="Q1030" s="79"/>
      <c r="R1030" s="79"/>
    </row>
    <row r="1031">
      <c r="A1031" s="1"/>
      <c r="B1031" s="78"/>
      <c r="C1031" s="78"/>
      <c r="D1031" s="78"/>
      <c r="E1031" s="78"/>
      <c r="M1031" s="79"/>
      <c r="N1031" s="79"/>
      <c r="O1031" s="79"/>
      <c r="P1031" s="79"/>
      <c r="Q1031" s="79"/>
      <c r="R1031" s="79"/>
    </row>
    <row r="1032">
      <c r="A1032" s="1"/>
      <c r="B1032" s="78"/>
      <c r="C1032" s="78"/>
      <c r="D1032" s="78"/>
      <c r="E1032" s="78"/>
      <c r="M1032" s="79"/>
      <c r="N1032" s="79"/>
      <c r="O1032" s="79"/>
      <c r="P1032" s="79"/>
      <c r="Q1032" s="79"/>
      <c r="R1032" s="79"/>
    </row>
    <row r="1033">
      <c r="A1033" s="1"/>
      <c r="B1033" s="78"/>
      <c r="C1033" s="78"/>
      <c r="D1033" s="78"/>
      <c r="E1033" s="78"/>
      <c r="M1033" s="79"/>
      <c r="N1033" s="79"/>
      <c r="O1033" s="79"/>
      <c r="P1033" s="79"/>
      <c r="Q1033" s="79"/>
      <c r="R1033" s="79"/>
    </row>
    <row r="1034">
      <c r="A1034" s="1"/>
      <c r="B1034" s="78"/>
      <c r="C1034" s="78"/>
      <c r="D1034" s="78"/>
      <c r="E1034" s="78"/>
      <c r="M1034" s="79"/>
      <c r="N1034" s="79"/>
      <c r="O1034" s="79"/>
      <c r="P1034" s="79"/>
      <c r="Q1034" s="79"/>
      <c r="R1034" s="79"/>
    </row>
    <row r="1035">
      <c r="A1035" s="1"/>
      <c r="B1035" s="78"/>
      <c r="C1035" s="78"/>
      <c r="D1035" s="78"/>
      <c r="E1035" s="78"/>
      <c r="M1035" s="79"/>
      <c r="N1035" s="79"/>
      <c r="O1035" s="79"/>
      <c r="P1035" s="79"/>
      <c r="Q1035" s="79"/>
      <c r="R1035" s="79"/>
    </row>
    <row r="1036">
      <c r="A1036" s="1"/>
      <c r="B1036" s="78"/>
      <c r="C1036" s="78"/>
      <c r="D1036" s="78"/>
      <c r="E1036" s="78"/>
      <c r="M1036" s="79"/>
      <c r="N1036" s="79"/>
      <c r="O1036" s="79"/>
      <c r="P1036" s="79"/>
      <c r="Q1036" s="79"/>
      <c r="R1036" s="79"/>
    </row>
    <row r="1037">
      <c r="A1037" s="1"/>
      <c r="B1037" s="78"/>
      <c r="C1037" s="78"/>
      <c r="D1037" s="78"/>
      <c r="E1037" s="78"/>
      <c r="M1037" s="79"/>
      <c r="N1037" s="79"/>
      <c r="O1037" s="79"/>
      <c r="P1037" s="79"/>
      <c r="Q1037" s="79"/>
      <c r="R1037" s="79"/>
    </row>
    <row r="1038">
      <c r="A1038" s="1"/>
      <c r="B1038" s="78"/>
      <c r="C1038" s="78"/>
      <c r="D1038" s="78"/>
      <c r="E1038" s="78"/>
      <c r="M1038" s="79"/>
      <c r="N1038" s="79"/>
      <c r="O1038" s="79"/>
      <c r="P1038" s="79"/>
      <c r="Q1038" s="79"/>
      <c r="R1038" s="79"/>
    </row>
    <row r="1039">
      <c r="A1039" s="1"/>
      <c r="B1039" s="78"/>
      <c r="C1039" s="78"/>
      <c r="D1039" s="78"/>
      <c r="E1039" s="78"/>
      <c r="M1039" s="79"/>
      <c r="N1039" s="79"/>
      <c r="O1039" s="79"/>
      <c r="P1039" s="79"/>
      <c r="Q1039" s="79"/>
      <c r="R1039" s="79"/>
    </row>
    <row r="1040">
      <c r="A1040" s="1"/>
      <c r="B1040" s="78"/>
      <c r="C1040" s="78"/>
      <c r="D1040" s="78"/>
      <c r="E1040" s="78"/>
      <c r="M1040" s="79"/>
      <c r="N1040" s="79"/>
      <c r="O1040" s="79"/>
      <c r="P1040" s="79"/>
      <c r="Q1040" s="79"/>
      <c r="R1040" s="79"/>
    </row>
    <row r="1041">
      <c r="A1041" s="1"/>
      <c r="B1041" s="78"/>
      <c r="C1041" s="78"/>
      <c r="D1041" s="78"/>
      <c r="E1041" s="78"/>
      <c r="M1041" s="79"/>
      <c r="N1041" s="79"/>
      <c r="O1041" s="79"/>
      <c r="P1041" s="79"/>
      <c r="Q1041" s="79"/>
      <c r="R1041" s="79"/>
    </row>
    <row r="1042">
      <c r="A1042" s="1"/>
      <c r="B1042" s="78"/>
      <c r="C1042" s="78"/>
      <c r="D1042" s="78"/>
      <c r="E1042" s="78"/>
      <c r="M1042" s="79"/>
      <c r="N1042" s="79"/>
      <c r="O1042" s="79"/>
      <c r="P1042" s="79"/>
      <c r="Q1042" s="79"/>
      <c r="R1042" s="79"/>
    </row>
    <row r="1043">
      <c r="A1043" s="1"/>
      <c r="B1043" s="78"/>
      <c r="C1043" s="78"/>
      <c r="D1043" s="78"/>
      <c r="E1043" s="78"/>
      <c r="M1043" s="79"/>
      <c r="N1043" s="79"/>
      <c r="O1043" s="79"/>
      <c r="P1043" s="79"/>
      <c r="Q1043" s="79"/>
      <c r="R1043" s="79"/>
    </row>
    <row r="1044">
      <c r="A1044" s="1"/>
      <c r="B1044" s="78"/>
      <c r="C1044" s="78"/>
      <c r="D1044" s="78"/>
      <c r="E1044" s="78"/>
      <c r="M1044" s="79"/>
      <c r="N1044" s="79"/>
      <c r="O1044" s="79"/>
      <c r="P1044" s="79"/>
      <c r="Q1044" s="79"/>
      <c r="R1044" s="79"/>
    </row>
    <row r="1045">
      <c r="A1045" s="1"/>
      <c r="B1045" s="78"/>
      <c r="C1045" s="78"/>
      <c r="D1045" s="78"/>
      <c r="E1045" s="78"/>
      <c r="M1045" s="79"/>
      <c r="N1045" s="79"/>
      <c r="O1045" s="79"/>
      <c r="P1045" s="79"/>
      <c r="Q1045" s="79"/>
      <c r="R1045" s="79"/>
    </row>
    <row r="1046">
      <c r="A1046" s="1"/>
      <c r="B1046" s="78"/>
      <c r="C1046" s="78"/>
      <c r="D1046" s="78"/>
      <c r="E1046" s="78"/>
      <c r="M1046" s="79"/>
      <c r="N1046" s="79"/>
      <c r="O1046" s="79"/>
      <c r="P1046" s="79"/>
      <c r="Q1046" s="79"/>
      <c r="R1046" s="79"/>
    </row>
    <row r="1047">
      <c r="A1047" s="1"/>
      <c r="B1047" s="78"/>
      <c r="C1047" s="78"/>
      <c r="D1047" s="78"/>
      <c r="E1047" s="78"/>
      <c r="M1047" s="79"/>
      <c r="N1047" s="79"/>
      <c r="O1047" s="79"/>
      <c r="P1047" s="79"/>
      <c r="Q1047" s="79"/>
      <c r="R1047" s="79"/>
    </row>
    <row r="1048">
      <c r="A1048" s="1"/>
      <c r="B1048" s="78"/>
      <c r="C1048" s="78"/>
      <c r="D1048" s="78"/>
      <c r="E1048" s="78"/>
      <c r="M1048" s="79"/>
      <c r="N1048" s="79"/>
      <c r="O1048" s="79"/>
      <c r="P1048" s="79"/>
      <c r="Q1048" s="79"/>
      <c r="R1048" s="79"/>
    </row>
    <row r="1049">
      <c r="A1049" s="1"/>
      <c r="B1049" s="78"/>
      <c r="C1049" s="78"/>
      <c r="D1049" s="78"/>
      <c r="E1049" s="78"/>
      <c r="M1049" s="79"/>
      <c r="N1049" s="79"/>
      <c r="O1049" s="79"/>
      <c r="P1049" s="79"/>
      <c r="Q1049" s="79"/>
      <c r="R1049" s="79"/>
    </row>
  </sheetData>
  <autoFilter ref="$A$4:$BP$78">
    <sortState ref="A4:BP78">
      <sortCondition ref="BL4:BL78"/>
      <sortCondition descending="1" sortBy="cellColor" ref="BK4:BK78" dxfId="1"/>
      <sortCondition descending="1" sortBy="cellColor" ref="BJ4:BJ78" dxfId="1"/>
      <sortCondition ref="BI4:BI78"/>
      <sortCondition ref="BN4:BN78"/>
      <sortCondition descending="1" sortBy="cellColor" ref="BH4:BH78" dxfId="1"/>
      <sortCondition descending="1" sortBy="cellColor" ref="BG4:BG78" dxfId="1"/>
      <sortCondition descending="1" sortBy="cellColor" ref="BF4:BF78" dxfId="1"/>
      <sortCondition ref="BD4:BD78"/>
    </sortState>
  </autoFilter>
  <mergeCells count="4">
    <mergeCell ref="J1:Y1"/>
    <mergeCell ref="BO1:BP1"/>
    <mergeCell ref="D2:BO2"/>
    <mergeCell ref="BO3:BP3"/>
  </mergeCells>
  <conditionalFormatting sqref="BT56:BT57">
    <cfRule type="notContainsBlanks" dxfId="2" priority="1">
      <formula>LEN(TRIM(BT56))&gt;0</formula>
    </cfRule>
  </conditionalFormatting>
  <conditionalFormatting sqref="X5:AO79 AP5:BM78 BO5:BO12">
    <cfRule type="cellIs" dxfId="3" priority="2" operator="lessThan">
      <formula>"50%"</formula>
    </cfRule>
  </conditionalFormatting>
  <conditionalFormatting sqref="X5:AO79 AP5:BM78 BO5:BO12">
    <cfRule type="cellIs" dxfId="4" priority="3" operator="greaterThanOrEqual">
      <formula>"70%"</formula>
    </cfRule>
  </conditionalFormatting>
  <conditionalFormatting sqref="X5:AO79 AP5:BM78 BO5:BO12">
    <cfRule type="cellIs" dxfId="5" priority="4" operator="between">
      <formula>"50%"</formula>
      <formula>"69%"</formula>
    </cfRule>
  </conditionalFormatting>
  <conditionalFormatting sqref="X5:AO79 AP5:BM78 BO5:BO12">
    <cfRule type="cellIs" dxfId="6" priority="5" operator="equal">
      <formula>"NOT PUBLISHED"</formula>
    </cfRule>
  </conditionalFormatting>
  <conditionalFormatting sqref="AG5:AG8 AH5 AI5:AI6 AJ5:AL20 AM5:BM78 BO5:BP79 AD6 AF6:AF8 AB8 AI8 AF11:AF16 AG11:AG14 AI11:AI13 AD12:AE12 AB14:AB15 AH14:AH15 AG16:AG20 AA17:AA18 AB17:AC17 AE17:AE20 AH17:AH20 AF18:AF20 AI18:AI20 AA20:AB20 AA25:AB25 AC26 AA27:AB27 AG28 AA30:AA31 AB31:AC31 AB37 AD37 AH38 AA40:AB44 AD54 AF54:AG55 AA56:AB60 AC58 AD61 AG63 AC64 AA71:AB78">
    <cfRule type="expression" dxfId="5" priority="6">
      <formula>AND(ISNUMBER(AG5),TRUNC(AG5)&gt;TODAY()-1)</formula>
    </cfRule>
  </conditionalFormatting>
  <conditionalFormatting sqref="AG5:AG8 AH5 AI5:AI6 AJ5:AL20 AM5:BM78 BO5:BP79 AD6 AF6:AF8 AB8 AI8 AF11:AF16 AG11:AG14 AI11:AI13 AD12:AE12 AB14:AB15 AH14:AH15 AG16:AG20 AA17:AA18 AB17:AC17 AE17:AE20 AH17:AH20 AF18:AF20 AI18:AI20 AA20:AB20 AA25:AB25 AC26 AA27:AB27 AG28 AA30:AA31 AB31:AC31 AB37 AD37 AH38 AA40:AB44 AD54 AF54:AG55 AA56:AB60 AC58 AD61 AG63 AC64 AA71:AB78">
    <cfRule type="cellIs" dxfId="7" priority="7" operator="equal">
      <formula>"NON-ANALYSED"</formula>
    </cfRule>
  </conditionalFormatting>
  <conditionalFormatting sqref="AG5:AG8 AH5 AI5:AI6 AJ5:AL20 AM5:BM78 BO5:BP79 AD6 AF6:AF8 AB8 AI8 AF11:AF16 AG11:AG14 AI11:AI13 AD12:AE12 AB14:AB15 AH14:AH15 AG16:AG20 AA17:AA18 AB17:AC17 AE17:AE20 AH17:AH20 AF18:AF20 AI18:AI20 AA20:AB20 AA25:AB25 AC26 AA27:AB27 AG28 AA30:AA31 AB31:AC31 AB37 AD37 AH38 AA40:AB44 AD54 AF54:AG55 AA56:AB60 AC58 AD61 AG63 AC64 AA71:AB78">
    <cfRule type="cellIs" dxfId="8" priority="8" operator="equal">
      <formula>"AUDIT FINALIZED"</formula>
    </cfRule>
  </conditionalFormatting>
  <conditionalFormatting sqref="AG5:AG8 AH5 AI5:AI6 AJ5:AL20 AM5:BM78 BO5:BP79 AD6 AF6:AF8 AB8 AI8 AF11:AF16 AG11:AG14 AI11:AI13 AD12:AE12 AB14:AB15 AH14:AH15 AG16:AG20 AA17:AA18 AB17:AC17 AE17:AE20 AH17:AH20 AF18:AF20 AI18:AI20 AA20:AB20 AA25:AB25 AC26 AA27:AB27 AG28 AA30:AA31 AB31:AC31 AB37 AD37 AH38 AA40:AB44 AD54 AF54:AG55 AA56:AB60 AC58 AD61 AG63 AC64 AA71:AB78">
    <cfRule type="cellIs" dxfId="6" priority="9" operator="equal">
      <formula>"NOT PUBLISHED"</formula>
    </cfRule>
  </conditionalFormatting>
  <conditionalFormatting sqref="K5:K79">
    <cfRule type="expression" dxfId="5" priority="10">
      <formula>IFERROR(ARRAYFORMULA(VALUE(MID(H5,2,10))) &gt; VALUE(MID(K5,2,10)), FALSE)</formula>
    </cfRule>
  </conditionalFormatting>
  <conditionalFormatting sqref="K5:K79">
    <cfRule type="beginsWith" dxfId="9" priority="11" operator="beginsWith" text="V">
      <formula>LEFT((K5),LEN("V"))=("V")</formula>
    </cfRule>
  </conditionalFormatting>
  <conditionalFormatting sqref="AG5:AG8 AH5 AI5:AI6 AJ5:AL20 AM5:BM78 BO5:BP79 AD6 AF6:AF8 AB8 AI8 AF11:AF16 AG11:AG14 AI11:AI13 AD12:AE12 AB14:AB15 AH14:AH15 AG16:AG20 AA17:AA18 AB17:AC17 AE17:AE20 AH17:AH20 AF18:AF20 AI18:AI20 AA20:AB20 AA25:AB25 AC26 AA27:AB27 AG28 AA30:AA31 AB31:AC31 AB37 AD37 AH38 AA40:AB44 AD54 AF54:AG55 AA56:AB60 AC58 AD61 AG63 AC64 AA71:AB78">
    <cfRule type="cellIs" dxfId="10" priority="12" operator="equal">
      <formula>"PREVIOUSLY APPROVED"</formula>
    </cfRule>
  </conditionalFormatting>
  <conditionalFormatting sqref="AG5:AG8 AH5 AI5:AI6 AJ5:AL20 AM5:BM78 BO5:BP79 AD6 AF6:AF8 AB8 AI8 AF11:AF16 AG11:AG14 AI11:AI13 AD12:AE12 AB14:AB15 AH14:AH15 AG16:AG20 AA17:AA18 AB17:AC17 AE17:AE20 AH17:AH20 AF18:AF20 AI18:AI20 AA20:AB20 AA25:AB25 AC26 AA27:AB27 AG28 AA30:AA31 AB31:AC31 AB37 AD37 AH38 AA40:AB44 AD54 AF54:AG55 AA56:AB60 AC58 AD61 AG63 AC64 AA71:AB78">
    <cfRule type="cellIs" dxfId="11" priority="13" operator="equal">
      <formula>"OUTDATED"</formula>
    </cfRule>
  </conditionalFormatting>
  <conditionalFormatting sqref="AJ5:AK13 AL5:AL19 AM5:BM78 BO5:BO12 AK15:AK16">
    <cfRule type="cellIs" dxfId="5" priority="14" operator="equal">
      <formula>"ANALYSING"</formula>
    </cfRule>
  </conditionalFormatting>
  <conditionalFormatting sqref="AJ5:AK13 AL5:AL19 AM5:BM78 BO5:BO12 AK15:AK16">
    <cfRule type="cellIs" dxfId="12" priority="15" operator="equal">
      <formula>"IMPROPER"</formula>
    </cfRule>
  </conditionalFormatting>
  <conditionalFormatting sqref="AW5 AX5:BM14 BO5:BO12 AT7:AW7 AT12:AW14">
    <cfRule type="colorScale" priority="16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R5:R78">
      <formula1>"FOI AUDITADO R5,FOI AUDITADO R6,FOI AUDITADO R7,AGUARDAR,FOI AUDITADO R8,FOI AUDITADO R9"</formula1>
    </dataValidation>
    <dataValidation type="list" allowBlank="1" showErrorMessage="1" sqref="U5:U78">
      <formula1>"ALINNE,IURY,JAKELYNE"</formula1>
    </dataValidation>
    <dataValidation type="list" allowBlank="1" showErrorMessage="1" sqref="Q5:Q78">
      <formula1>"ABERTO,PENDENTE,EM REVISÃO,ABERTO/PENDENTE,FECHADA,NÃO POSSUI ISSUE,ATUALIZAR"</formula1>
    </dataValidation>
    <dataValidation type="list" allowBlank="1" showErrorMessage="1" sqref="BN5:BN78">
      <formula1>"IN PROGRESS,POSTED ISSUES,NEXT ROUND,OBSOLET,POSTING,EMPTY,CLOSED,ON HOLD"</formula1>
    </dataValidation>
    <dataValidation type="list" allowBlank="1" showErrorMessage="1" sqref="L5:L10 L12:L77">
      <formula1>"MODELO FOI ATUALIZADO,CONTINUA MESMA VERSÃO"</formula1>
    </dataValidation>
    <dataValidation type="list" allowBlank="1" showErrorMessage="1" sqref="S5:T78">
      <formula1>"NÃO INICIADO,PENDENCIA,INICIADO,FINALIZADO,REVISAR,OBSOLETO"</formula1>
    </dataValidation>
  </dataValidations>
  <printOptions gridLines="1" horizontalCentered="1"/>
  <pageMargins bottom="0.75" footer="0.0" header="0.0" left="0.25" right="0.25" top="0.75"/>
  <pageSetup paperSize="9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8.38"/>
  </cols>
  <sheetData>
    <row r="1">
      <c r="A1" s="80" t="s">
        <v>367</v>
      </c>
      <c r="B1" s="80" t="s">
        <v>368</v>
      </c>
      <c r="C1" s="80" t="s">
        <v>68</v>
      </c>
    </row>
    <row r="2">
      <c r="A2" s="1" t="str">
        <f>'PROGRESS CONTROL'!N5</f>
        <v>CPQ11-FPRT-FPRT-DATA-R24.rvt</v>
      </c>
      <c r="B2" s="81" t="str">
        <f>'PROGRESS CONTROL'!K5</f>
        <v>V4</v>
      </c>
      <c r="C2" s="82">
        <f>'PROGRESS CONTROL'!BP5</f>
        <v>0.94</v>
      </c>
    </row>
    <row r="3">
      <c r="A3" s="1" t="str">
        <f>'PROGRESS CONTROL'!N6</f>
        <v>CPQ11-ARCH-CEIL-DATA-R24.rvt</v>
      </c>
      <c r="B3" s="81" t="str">
        <f>'PROGRESS CONTROL'!K6</f>
        <v>V1</v>
      </c>
      <c r="C3" s="82">
        <f>'PROGRESS CONTROL'!BP6</f>
        <v>0.76</v>
      </c>
    </row>
    <row r="4">
      <c r="A4" s="1" t="str">
        <f>'PROGRESS CONTROL'!N7</f>
        <v>CPQ11-ARCH-CEIL-SITE-R24.rvt</v>
      </c>
      <c r="B4" s="1" t="str">
        <f>'PROGRESS CONTROL'!K7</f>
        <v>V1</v>
      </c>
      <c r="C4" s="82">
        <f>'PROGRESS CONTROL'!BP7</f>
        <v>0.76</v>
      </c>
    </row>
    <row r="5">
      <c r="A5" s="1" t="str">
        <f>'PROGRESS CONTROL'!N8</f>
        <v>CPQ11-FPRT-FPRT-SITE-R24.rvt</v>
      </c>
      <c r="B5" s="81" t="str">
        <f>'PROGRESS CONTROL'!K8</f>
        <v>V3</v>
      </c>
      <c r="C5" s="82">
        <f>'PROGRESS CONTROL'!BP8</f>
        <v>1</v>
      </c>
    </row>
    <row r="6">
      <c r="A6" s="1" t="str">
        <f>'PROGRESS CONTROL'!N9</f>
        <v>CPQ11-STRC-FLOO-DATA-R24.rvt</v>
      </c>
      <c r="B6" s="81" t="str">
        <f>'PROGRESS CONTROL'!K9</f>
        <v>V2</v>
      </c>
      <c r="C6" s="82">
        <f>'PROGRESS CONTROL'!BP9</f>
        <v>1</v>
      </c>
    </row>
    <row r="7">
      <c r="A7" s="1" t="str">
        <f>'PROGRESS CONTROL'!N10</f>
        <v>CPQ11-ARCH-STON-SITE-R24.rvt</v>
      </c>
      <c r="B7" s="1" t="str">
        <f>'PROGRESS CONTROL'!K10</f>
        <v>V3</v>
      </c>
      <c r="C7" s="82">
        <f>'PROGRESS CONTROL'!BP10</f>
        <v>1</v>
      </c>
    </row>
    <row r="8">
      <c r="A8" s="1" t="str">
        <f>'PROGRESS CONTROL'!N11</f>
        <v>CPQ11-SCTY-GATE-SITE-R24.rvt</v>
      </c>
      <c r="B8" s="81" t="str">
        <f>'PROGRESS CONTROL'!K11</f>
        <v>V2</v>
      </c>
      <c r="C8" s="82">
        <f>'PROGRESS CONTROL'!BP11</f>
        <v>1</v>
      </c>
    </row>
    <row r="9">
      <c r="A9" s="1" t="str">
        <f>'PROGRESS CONTROL'!N12</f>
        <v>CPQ11-STRC-FLOO-SITE-R24.rvt</v>
      </c>
      <c r="B9" s="81" t="str">
        <f>'PROGRESS CONTROL'!K12</f>
        <v>V2</v>
      </c>
      <c r="C9" s="82">
        <f>'PROGRESS CONTROL'!BP12</f>
        <v>1</v>
      </c>
    </row>
    <row r="10">
      <c r="A10" s="1" t="str">
        <f>'PROGRESS CONTROL'!N13</f>
        <v>CPQ11-FALM-FALM-SITE-R24.rvt</v>
      </c>
      <c r="B10" s="1" t="str">
        <f>'PROGRESS CONTROL'!K13</f>
        <v>V11</v>
      </c>
      <c r="C10" s="82">
        <f>'PROGRESS CONTROL'!BP13</f>
        <v>1</v>
      </c>
    </row>
    <row r="11">
      <c r="A11" s="1" t="str">
        <f>'PROGRESS CONTROL'!N14</f>
        <v>CPQ11-ARCH-ARCH-SITE-R24.rvt</v>
      </c>
      <c r="B11" s="1" t="str">
        <f>'PROGRESS CONTROL'!K14</f>
        <v>V20</v>
      </c>
      <c r="C11" s="82">
        <f>'PROGRESS CONTROL'!BP14</f>
        <v>1</v>
      </c>
    </row>
    <row r="12">
      <c r="A12" s="1" t="str">
        <f>'PROGRESS CONTROL'!N15</f>
        <v>CPQ11-STRC-CONC-DATA-R24.rvt</v>
      </c>
      <c r="B12" s="1" t="str">
        <f>'PROGRESS CONTROL'!K15</f>
        <v>V5</v>
      </c>
      <c r="C12" s="82">
        <f>'PROGRESS CONTROL'!BP15</f>
        <v>1</v>
      </c>
    </row>
    <row r="13">
      <c r="A13" s="1" t="str">
        <f>'PROGRESS CONTROL'!N16</f>
        <v>CPQ11-ARCH-SHLV-DATA-R24.rvt</v>
      </c>
      <c r="B13" s="1" t="str">
        <f>'PROGRESS CONTROL'!K16</f>
        <v>V7</v>
      </c>
      <c r="C13" s="82">
        <f>'PROGRESS CONTROL'!BP16</f>
        <v>1</v>
      </c>
    </row>
    <row r="14">
      <c r="A14" s="1" t="str">
        <f>'PROGRESS CONTROL'!N17</f>
        <v>CPQ11-ARCH-PART-C345-R24.rvt</v>
      </c>
      <c r="B14" s="1" t="str">
        <f>'PROGRESS CONTROL'!K17</f>
        <v>V12</v>
      </c>
      <c r="C14" s="82">
        <f>'PROGRESS CONTROL'!BP17</f>
        <v>1</v>
      </c>
    </row>
    <row r="15">
      <c r="A15" s="1" t="str">
        <f>'PROGRESS CONTROL'!N18</f>
        <v>CPQ11-STRC-DPFN-DATA-R24.rvt</v>
      </c>
      <c r="B15" s="1" t="str">
        <f>'PROGRESS CONTROL'!K18</f>
        <v>V4</v>
      </c>
      <c r="C15" s="82">
        <f>'PROGRESS CONTROL'!BP18</f>
        <v>1</v>
      </c>
    </row>
    <row r="16">
      <c r="A16" s="1" t="str">
        <f>'PROGRESS CONTROL'!N19</f>
        <v>CPQ11-ARCH-BLPR-GUAR-R24.rvt</v>
      </c>
      <c r="B16" s="1" t="str">
        <f>'PROGRESS CONTROL'!K19</f>
        <v>V5</v>
      </c>
      <c r="C16" s="82">
        <f>'PROGRESS CONTROL'!BP19</f>
        <v>1</v>
      </c>
    </row>
    <row r="17">
      <c r="A17" s="1" t="str">
        <f>'PROGRESS CONTROL'!N20</f>
        <v>CPQ11-STRC-DPFN-SITE-R24.rvt</v>
      </c>
      <c r="B17" s="1" t="str">
        <f>'PROGRESS CONTROL'!K20</f>
        <v>V4</v>
      </c>
      <c r="C17" s="82">
        <f>'PROGRESS CONTROL'!BP20</f>
        <v>1</v>
      </c>
    </row>
    <row r="18">
      <c r="A18" s="1" t="str">
        <f>'PROGRESS CONTROL'!N21</f>
        <v>CPQ11-CIVL-PAVM-SITE-R24.rvt</v>
      </c>
      <c r="B18" s="1" t="str">
        <f>'PROGRESS CONTROL'!K21</f>
        <v>V3</v>
      </c>
      <c r="C18" s="82">
        <f>'PROGRESS CONTROL'!BP21</f>
        <v>1</v>
      </c>
    </row>
    <row r="19">
      <c r="A19" s="1" t="str">
        <f>'PROGRESS CONTROL'!N22</f>
        <v>CPQ11-ARCH-HM90-DATA-R24.rvt</v>
      </c>
      <c r="B19" s="1" t="str">
        <f>'PROGRESS CONTROL'!K22</f>
        <v>V1</v>
      </c>
      <c r="C19" s="82">
        <f>'PROGRESS CONTROL'!BP22</f>
        <v>1</v>
      </c>
    </row>
    <row r="20">
      <c r="A20" s="1" t="str">
        <f>'PROGRESS CONTROL'!N23</f>
        <v>CPQ11-CIVL-DRNG-SITE-R24.rvt</v>
      </c>
      <c r="B20" s="1" t="str">
        <f>'PROGRESS CONTROL'!K23</f>
        <v>V3</v>
      </c>
      <c r="C20" s="82">
        <f>'PROGRESS CONTROL'!BP23</f>
        <v>1</v>
      </c>
    </row>
    <row r="21">
      <c r="A21" s="1" t="str">
        <f>'PROGRESS CONTROL'!N24</f>
        <v>CPQ11-STRC-CONC-SITE-R24.rvt</v>
      </c>
      <c r="B21" s="1" t="str">
        <f>'PROGRESS CONTROL'!K24</f>
        <v>V5</v>
      </c>
      <c r="C21" s="82">
        <f>'PROGRESS CONTROL'!BP24</f>
        <v>1</v>
      </c>
    </row>
    <row r="22">
      <c r="A22" s="1" t="str">
        <f>'PROGRESS CONTROL'!N25</f>
        <v>CPQ11-ARCH-PART-C12A-R24.rvt</v>
      </c>
      <c r="B22" s="1" t="str">
        <f>'PROGRESS CONTROL'!K25</f>
        <v>V15</v>
      </c>
      <c r="C22" s="82">
        <f>'PROGRESS CONTROL'!BP25</f>
        <v>1</v>
      </c>
    </row>
    <row r="23">
      <c r="A23" s="1" t="str">
        <f>'PROGRESS CONTROL'!N26</f>
        <v>CPQ11-ARCH-ARCH-DATA-R24.rvt</v>
      </c>
      <c r="B23" s="1" t="str">
        <f>'PROGRESS CONTROL'!K26</f>
        <v>V17</v>
      </c>
      <c r="C23" s="82">
        <f>'PROGRESS CONTROL'!BP26</f>
        <v>1</v>
      </c>
    </row>
    <row r="24">
      <c r="A24" s="1" t="str">
        <f>'PROGRESS CONTROL'!N27</f>
        <v>CPQ11-CIVL-ERTH-SITE-R24.rvt</v>
      </c>
      <c r="B24" s="1" t="str">
        <f>'PROGRESS CONTROL'!K27</f>
        <v>V2</v>
      </c>
      <c r="C24" s="82">
        <f>'PROGRESS CONTROL'!BP27</f>
        <v>1</v>
      </c>
    </row>
    <row r="25">
      <c r="A25" s="1" t="str">
        <f>'PROGRESS CONTROL'!N28</f>
        <v>CPQ11-SYST-INFR-DATA-R24.rvt</v>
      </c>
      <c r="B25" s="1" t="str">
        <f>'PROGRESS CONTROL'!K28</f>
        <v>V24</v>
      </c>
      <c r="C25" s="82">
        <f>'PROGRESS CONTROL'!BP28</f>
        <v>1</v>
      </c>
    </row>
    <row r="26">
      <c r="A26" s="1" t="str">
        <f>'PROGRESS CONTROL'!N29</f>
        <v>CPQ11-SYST-INFR-SITE-R24.rvt</v>
      </c>
      <c r="B26" s="1" t="str">
        <f>'PROGRESS CONTROL'!K29</f>
        <v>V20</v>
      </c>
      <c r="C26" s="82">
        <f>'PROGRESS CONTROL'!BP29</f>
        <v>1</v>
      </c>
    </row>
    <row r="27">
      <c r="A27" s="1" t="str">
        <f>'PROGRESS CONTROL'!N30</f>
        <v>CPQ11-SCTY-INFR-DATA-R24.rvt</v>
      </c>
      <c r="B27" s="1" t="str">
        <f>'PROGRESS CONTROL'!K30</f>
        <v>V34</v>
      </c>
      <c r="C27" s="82">
        <f>'PROGRESS CONTROL'!BP30</f>
        <v>1</v>
      </c>
    </row>
    <row r="28">
      <c r="A28" s="1" t="str">
        <f>'PROGRESS CONTROL'!N31</f>
        <v>CPQ11-SCTY-INFR-SITE-R24.rvt</v>
      </c>
      <c r="B28" s="1" t="str">
        <f>'PROGRESS CONTROL'!K31</f>
        <v>V18</v>
      </c>
      <c r="C28" s="82">
        <f>'PROGRESS CONTROL'!BP31</f>
        <v>1</v>
      </c>
    </row>
    <row r="29">
      <c r="A29" s="1" t="str">
        <f>'PROGRESS CONTROL'!N32</f>
        <v>CPQ11-BASM-INFR-DATA-R24.rvt</v>
      </c>
      <c r="B29" s="1" t="str">
        <f>'PROGRESS CONTROL'!K32</f>
        <v>V25</v>
      </c>
      <c r="C29" s="82">
        <f>'PROGRESS CONTROL'!BP32</f>
        <v>1</v>
      </c>
    </row>
    <row r="30">
      <c r="A30" s="1" t="str">
        <f>'PROGRESS CONTROL'!N33</f>
        <v>CPQ11-BASM-INFR-PUMP-R24.rvt</v>
      </c>
      <c r="B30" s="1" t="str">
        <f>'PROGRESS CONTROL'!K33</f>
        <v>V19</v>
      </c>
      <c r="C30" s="82">
        <f>'PROGRESS CONTROL'!BP33</f>
        <v>1</v>
      </c>
    </row>
    <row r="31">
      <c r="A31" s="1" t="str">
        <f>'PROGRESS CONTROL'!N34</f>
        <v>CPQ11-ELEC-ELEC-DATA-R24.rvt</v>
      </c>
      <c r="B31" s="1" t="str">
        <f>'PROGRESS CONTROL'!K34</f>
        <v>V46</v>
      </c>
      <c r="C31" s="82">
        <f>'PROGRESS CONTROL'!BP34</f>
        <v>1</v>
      </c>
    </row>
    <row r="32">
      <c r="A32" s="1" t="str">
        <f>'PROGRESS CONTROL'!N35</f>
        <v>CPQ11-ELEC-ELEC-SITE-R24.rvt</v>
      </c>
      <c r="B32" s="1" t="str">
        <f>'PROGRESS CONTROL'!K35</f>
        <v>V32</v>
      </c>
      <c r="C32" s="82">
        <f>'PROGRESS CONTROL'!BP35</f>
        <v>1</v>
      </c>
    </row>
    <row r="33">
      <c r="A33" s="1" t="str">
        <f>'PROGRESS CONTROL'!N36</f>
        <v>CPQ11-PLMB-PLMB-DATA-R24.rvt</v>
      </c>
      <c r="B33" s="1" t="str">
        <f>'PROGRESS CONTROL'!K36</f>
        <v>V29</v>
      </c>
      <c r="C33" s="82">
        <f>'PROGRESS CONTROL'!BP36</f>
        <v>1</v>
      </c>
    </row>
    <row r="34">
      <c r="A34" s="1" t="str">
        <f>'PROGRESS CONTROL'!N37</f>
        <v>CPQ11-PLMB-PLMB-SITE-R24.rvt</v>
      </c>
      <c r="B34" s="81" t="str">
        <f>'PROGRESS CONTROL'!K37</f>
        <v>V27</v>
      </c>
      <c r="C34" s="82">
        <f>'PROGRESS CONTROL'!BP37</f>
        <v>1</v>
      </c>
    </row>
    <row r="35">
      <c r="A35" s="1" t="str">
        <f>'PROGRESS CONTROL'!N38</f>
        <v>CPQ11-PLMB-DIES-SITE-R24.rvt</v>
      </c>
      <c r="B35" s="1" t="str">
        <f>'PROGRESS CONTROL'!K38</f>
        <v>V5</v>
      </c>
      <c r="C35" s="82">
        <f>'PROGRESS CONTROL'!BP38</f>
        <v>1</v>
      </c>
    </row>
    <row r="36">
      <c r="A36" s="1" t="str">
        <f>'PROGRESS CONTROL'!N39</f>
        <v>CPQ11-FALM-FALM-DATA-R24.rvt</v>
      </c>
      <c r="B36" s="81" t="str">
        <f>'PROGRESS CONTROL'!K39</f>
        <v>V23</v>
      </c>
      <c r="C36" s="82">
        <f>'PROGRESS CONTROL'!BP39</f>
        <v>1</v>
      </c>
    </row>
    <row r="37">
      <c r="A37" s="1" t="str">
        <f>'PROGRESS CONTROL'!N40</f>
        <v>CPQ11-DALI-DEVS-DATA-R24.rvt</v>
      </c>
      <c r="B37" s="1" t="str">
        <f>'PROGRESS CONTROL'!K40</f>
        <v>V7</v>
      </c>
      <c r="C37" s="82">
        <f>'PROGRESS CONTROL'!BP40</f>
        <v>1</v>
      </c>
    </row>
    <row r="38">
      <c r="A38" s="1" t="str">
        <f>'PROGRESS CONTROL'!N41</f>
        <v>CPQ11-BASM-DEVS-DATA-R24.rvt</v>
      </c>
      <c r="B38" s="1" t="str">
        <f>'PROGRESS CONTROL'!K41</f>
        <v>V10</v>
      </c>
      <c r="C38" s="82">
        <f>'PROGRESS CONTROL'!BP41</f>
        <v>1</v>
      </c>
    </row>
    <row r="39">
      <c r="A39" s="1" t="str">
        <f>'PROGRESS CONTROL'!N42</f>
        <v>CPQ11-BASM-DEVS-PUMP-R24.rvt</v>
      </c>
      <c r="B39" s="1" t="str">
        <f>'PROGRESS CONTROL'!K42</f>
        <v>V10</v>
      </c>
      <c r="C39" s="82">
        <f>'PROGRESS CONTROL'!BP42</f>
        <v>1</v>
      </c>
    </row>
    <row r="40">
      <c r="A40" s="1" t="str">
        <f>'PROGRESS CONTROL'!N43</f>
        <v>CPQ11-EPMS-DEVS-DATA-R24.rvt</v>
      </c>
      <c r="B40" s="1" t="str">
        <f>'PROGRESS CONTROL'!K43</f>
        <v>V10</v>
      </c>
      <c r="C40" s="82">
        <f>'PROGRESS CONTROL'!BP43</f>
        <v>1</v>
      </c>
    </row>
    <row r="41">
      <c r="A41" s="1" t="str">
        <f>'PROGRESS CONTROL'!N44</f>
        <v>CPQ11-EPMS-DEVS-SITE-R24.rvt</v>
      </c>
      <c r="B41" s="1" t="str">
        <f>'PROGRESS CONTROL'!K44</f>
        <v>V8</v>
      </c>
      <c r="C41" s="82">
        <f>'PROGRESS CONTROL'!BP44</f>
        <v>1</v>
      </c>
    </row>
    <row r="42">
      <c r="A42" s="1" t="str">
        <f>'PROGRESS CONTROL'!N45</f>
        <v>CPQ11-TCOM-DEVS-DATA-R24.rvt</v>
      </c>
      <c r="B42" s="1" t="str">
        <f>'PROGRESS CONTROL'!K45</f>
        <v>V12</v>
      </c>
      <c r="C42" s="82">
        <f>'PROGRESS CONTROL'!BP45</f>
        <v>1</v>
      </c>
    </row>
    <row r="43">
      <c r="A43" s="1" t="str">
        <f>'PROGRESS CONTROL'!N46</f>
        <v>CPQ11-TCOM-DEVS-SITE-R24.rvt</v>
      </c>
      <c r="B43" s="1" t="str">
        <f>'PROGRESS CONTROL'!K46</f>
        <v>V8</v>
      </c>
      <c r="C43" s="82">
        <f>'PROGRESS CONTROL'!BP46</f>
        <v>1</v>
      </c>
    </row>
    <row r="44">
      <c r="A44" s="1" t="str">
        <f>'PROGRESS CONTROL'!N47</f>
        <v>CPQ11-DASM-DEVS-DATA-R24.rvt</v>
      </c>
      <c r="B44" s="1" t="str">
        <f>'PROGRESS CONTROL'!K47</f>
        <v>V17</v>
      </c>
      <c r="C44" s="82">
        <f>'PROGRESS CONTROL'!BP47</f>
        <v>1</v>
      </c>
    </row>
    <row r="45">
      <c r="A45" s="1" t="str">
        <f>'PROGRESS CONTROL'!N48</f>
        <v>CPQ11-ROIP-DEVS-DATA-R24.rvt</v>
      </c>
      <c r="B45" s="1" t="str">
        <f>'PROGRESS CONTROL'!K48</f>
        <v>V19</v>
      </c>
      <c r="C45" s="82">
        <f>'PROGRESS CONTROL'!BP48</f>
        <v>1</v>
      </c>
    </row>
    <row r="46">
      <c r="A46" s="1" t="str">
        <f>'PROGRESS CONTROL'!N49</f>
        <v>CPQ11-ROIP-DEVS-GUAR-R24.rvt</v>
      </c>
      <c r="B46" s="1" t="str">
        <f>'PROGRESS CONTROL'!K49</f>
        <v>V3</v>
      </c>
      <c r="C46" s="82">
        <f>'PROGRESS CONTROL'!BP49</f>
        <v>1</v>
      </c>
    </row>
    <row r="47">
      <c r="A47" s="1" t="str">
        <f>'PROGRESS CONTROL'!N50</f>
        <v>CPQ11-STRC-STEE-COL2-2X3.ifc</v>
      </c>
      <c r="B47" s="1" t="str">
        <f>'PROGRESS CONTROL'!K50</f>
        <v>V5</v>
      </c>
      <c r="C47" s="82">
        <f>'PROGRESS CONTROL'!BP50</f>
        <v>1</v>
      </c>
    </row>
    <row r="48">
      <c r="A48" s="1" t="str">
        <f>'PROGRESS CONTROL'!N51</f>
        <v>CPQ11-FPRT-METK-UTLS-R24.rvt</v>
      </c>
      <c r="B48" s="1" t="str">
        <f>'PROGRESS CONTROL'!K51</f>
        <v>V10</v>
      </c>
      <c r="C48" s="82">
        <f>'PROGRESS CONTROL'!BP51</f>
        <v>1</v>
      </c>
    </row>
    <row r="49">
      <c r="A49" s="1" t="str">
        <f>'PROGRESS CONTROL'!N52</f>
        <v>CPQ11-ARCH-FACD-DATA-R24.rvt</v>
      </c>
      <c r="B49" s="1" t="str">
        <f>'PROGRESS CONTROL'!K52</f>
        <v>V8</v>
      </c>
      <c r="C49" s="82">
        <f>'PROGRESS CONTROL'!BP52</f>
        <v>1</v>
      </c>
    </row>
    <row r="50">
      <c r="A50" s="1" t="str">
        <f>'PROGRESS CONTROL'!N53</f>
        <v>CPQ11-STRC-STEE-COL1-2X3.ifc</v>
      </c>
      <c r="B50" s="1" t="str">
        <f>'PROGRESS CONTROL'!K53</f>
        <v>V6</v>
      </c>
      <c r="C50" s="82">
        <f>'PROGRESS CONTROL'!BP53</f>
        <v>1</v>
      </c>
    </row>
    <row r="51">
      <c r="A51" s="1" t="str">
        <f>'PROGRESS CONTROL'!N54</f>
        <v>CPQ11-MECH-MECH-DATA-R24.rvt</v>
      </c>
      <c r="B51" s="1" t="str">
        <f>'PROGRESS CONTROL'!K54</f>
        <v>V40</v>
      </c>
      <c r="C51" s="82">
        <f>'PROGRESS CONTROL'!BP54</f>
        <v>1</v>
      </c>
    </row>
    <row r="52">
      <c r="A52" s="1" t="str">
        <f>'PROGRESS CONTROL'!N55</f>
        <v>CPQ11-MECH-MECH-GUAR-R24.rvt</v>
      </c>
      <c r="B52" s="1" t="str">
        <f>'PROGRESS CONTROL'!K55</f>
        <v>V14</v>
      </c>
      <c r="C52" s="82">
        <f>'PROGRESS CONTROL'!BP55</f>
        <v>1</v>
      </c>
    </row>
    <row r="53">
      <c r="A53" s="1" t="str">
        <f>'PROGRESS CONTROL'!N56</f>
        <v>CPQ11-PLMB-METK-UTLS-R24.rvt</v>
      </c>
      <c r="B53" s="1" t="str">
        <f>'PROGRESS CONTROL'!K56</f>
        <v>V21</v>
      </c>
      <c r="C53" s="82">
        <f>'PROGRESS CONTROL'!BP56</f>
        <v>1</v>
      </c>
    </row>
    <row r="54">
      <c r="A54" s="1" t="str">
        <f>'PROGRESS CONTROL'!N57</f>
        <v>CPQ11-PLMB-NPWT-DATA-R24.rvt</v>
      </c>
      <c r="B54" s="1" t="str">
        <f>'PROGRESS CONTROL'!K57</f>
        <v>V23</v>
      </c>
      <c r="C54" s="82">
        <f>'PROGRESS CONTROL'!BP57</f>
        <v>1</v>
      </c>
    </row>
    <row r="55">
      <c r="A55" s="1" t="str">
        <f>'PROGRESS CONTROL'!N58</f>
        <v>CPQ11-PLMB-NPWT-SITE-R24.rvt</v>
      </c>
      <c r="B55" s="1" t="str">
        <f>'PROGRESS CONTROL'!K58</f>
        <v>V25</v>
      </c>
      <c r="C55" s="82">
        <f>'PROGRESS CONTROL'!BP58</f>
        <v>1</v>
      </c>
    </row>
    <row r="56">
      <c r="A56" s="1" t="str">
        <f>'PROGRESS CONTROL'!N59</f>
        <v>CPQ11-SCTY-DEVS-DATA-R24.rvt</v>
      </c>
      <c r="B56" s="1" t="str">
        <f>'PROGRESS CONTROL'!K59</f>
        <v>V33</v>
      </c>
      <c r="C56" s="82">
        <f>'PROGRESS CONTROL'!BP59</f>
        <v>1</v>
      </c>
    </row>
    <row r="57">
      <c r="A57" s="1" t="str">
        <f>'PROGRESS CONTROL'!N60</f>
        <v>CPQ11-SCTY-DEVS-SITE-R24.rvt</v>
      </c>
      <c r="B57" s="1" t="str">
        <f>'PROGRESS CONTROL'!K60</f>
        <v>V20</v>
      </c>
      <c r="C57" s="82">
        <f>'PROGRESS CONTROL'!BP60</f>
        <v>1</v>
      </c>
    </row>
    <row r="58">
      <c r="A58" s="1" t="str">
        <f>'PROGRESS CONTROL'!N61</f>
        <v>CPQ11-STRC-STEE-STIR-2X3.ifc</v>
      </c>
      <c r="B58" s="1" t="str">
        <f>'PROGRESS CONTROL'!K61</f>
        <v>V2</v>
      </c>
      <c r="C58" s="82">
        <f>'PROGRESS CONTROL'!BP61</f>
        <v>1</v>
      </c>
    </row>
    <row r="59">
      <c r="A59" s="1" t="str">
        <f>'PROGRESS CONTROL'!N62</f>
        <v>CPQ11-STRC-STEE-UTLS-2X3.ifc</v>
      </c>
      <c r="B59" s="1" t="str">
        <f>'PROGRESS CONTROL'!K62</f>
        <v>V4</v>
      </c>
      <c r="C59" s="82">
        <f>'PROGRESS CONTROL'!BP62</f>
        <v>1</v>
      </c>
    </row>
    <row r="60">
      <c r="A60" s="1" t="str">
        <f>'PROGRESS CONTROL'!N63</f>
        <v>CPQ11-ARCH-PART-SITE-R24.rvt</v>
      </c>
      <c r="B60" s="1" t="str">
        <f>'PROGRESS CONTROL'!K63</f>
        <v>V10</v>
      </c>
      <c r="C60" s="82">
        <f>'PROGRESS CONTROL'!BP63</f>
        <v>1</v>
      </c>
    </row>
    <row r="61">
      <c r="A61" s="1" t="str">
        <f>'PROGRESS CONTROL'!N64</f>
        <v>CPQ11-CIVL-LOCK-SITE-R24.rvt</v>
      </c>
      <c r="B61" s="1" t="str">
        <f>'PROGRESS CONTROL'!K64</f>
        <v>V5</v>
      </c>
      <c r="C61" s="82">
        <f>'PROGRESS CONTROL'!BP64</f>
        <v>1</v>
      </c>
    </row>
    <row r="62">
      <c r="A62" s="1" t="str">
        <f>'PROGRESS CONTROL'!N65</f>
        <v>CPQ11-ARCH-CHAI-SITE-R24.rvt</v>
      </c>
      <c r="B62" s="1" t="str">
        <f>'PROGRESS CONTROL'!K65</f>
        <v>V4</v>
      </c>
      <c r="C62" s="82">
        <f>'PROGRESS CONTROL'!BP65</f>
        <v>1</v>
      </c>
    </row>
    <row r="63">
      <c r="A63" s="1" t="str">
        <f>'PROGRESS CONTROL'!N66</f>
        <v>CPQ11-ARCH-HMET-DATA-R24.rvt</v>
      </c>
      <c r="B63" s="1" t="str">
        <f>'PROGRESS CONTROL'!K66</f>
        <v>V6</v>
      </c>
      <c r="C63" s="82">
        <f>'PROGRESS CONTROL'!BP66</f>
        <v>1</v>
      </c>
    </row>
    <row r="64">
      <c r="A64" s="1" t="str">
        <f>'PROGRESS CONTROL'!N67</f>
        <v>CPQ11-ARCH-HMET-SITE-R24.rvt</v>
      </c>
      <c r="B64" s="1" t="str">
        <f>'PROGRESS CONTROL'!K67</f>
        <v>V3</v>
      </c>
      <c r="C64" s="82">
        <f>'PROGRESS CONTROL'!BP67</f>
        <v>1</v>
      </c>
    </row>
    <row r="65">
      <c r="A65" s="1" t="str">
        <f>'PROGRESS CONTROL'!N68</f>
        <v>CPQ11-ARCH-ROOF-DATA-R24.rvt</v>
      </c>
      <c r="B65" s="1" t="str">
        <f>'PROGRESS CONTROL'!K68</f>
        <v>V18</v>
      </c>
      <c r="C65" s="82">
        <f>'PROGRESS CONTROL'!BP68</f>
        <v>1</v>
      </c>
    </row>
    <row r="66">
      <c r="A66" s="1" t="str">
        <f>'PROGRESS CONTROL'!N69</f>
        <v>CPQ11-ARCH-WMES-DATA-R24.rvt</v>
      </c>
      <c r="B66" s="1" t="str">
        <f>'PROGRESS CONTROL'!K69</f>
        <v>V9</v>
      </c>
      <c r="C66" s="82">
        <f>'PROGRESS CONTROL'!BP69</f>
        <v>1</v>
      </c>
    </row>
    <row r="67">
      <c r="A67" s="1" t="str">
        <f>'PROGRESS CONTROL'!N70</f>
        <v>CPQ11-STRC-STEE-ADMN-2X3.ifc</v>
      </c>
      <c r="B67" s="1" t="str">
        <f>'PROGRESS CONTROL'!K70</f>
        <v>V5</v>
      </c>
      <c r="C67" s="82">
        <f>'PROGRESS CONTROL'!BP70</f>
        <v>1</v>
      </c>
    </row>
    <row r="68">
      <c r="A68" s="1" t="str">
        <f>'PROGRESS CONTROL'!N71</f>
        <v>CPQ11-STRC-STEE-COL3-2X3.ifc</v>
      </c>
      <c r="B68" s="1" t="str">
        <f>'PROGRESS CONTROL'!K71</f>
        <v>V5</v>
      </c>
      <c r="C68" s="82">
        <f>'PROGRESS CONTROL'!BP71</f>
        <v>1</v>
      </c>
    </row>
    <row r="69">
      <c r="A69" s="1" t="str">
        <f>'PROGRESS CONTROL'!N72</f>
        <v>CPQ11-STRC-STEE-COL4-2X3.ifc</v>
      </c>
      <c r="B69" s="1" t="str">
        <f>'PROGRESS CONTROL'!K72</f>
        <v>V5</v>
      </c>
      <c r="C69" s="82">
        <f>'PROGRESS CONTROL'!BP72</f>
        <v>1</v>
      </c>
    </row>
    <row r="70">
      <c r="A70" s="1" t="str">
        <f>'PROGRESS CONTROL'!N73</f>
        <v>CPQ11-STRC-STEE-COL5-2X3.ifc</v>
      </c>
      <c r="B70" s="1" t="str">
        <f>'PROGRESS CONTROL'!K73</f>
        <v>V5</v>
      </c>
      <c r="C70" s="82">
        <f>'PROGRESS CONTROL'!BP73</f>
        <v>1</v>
      </c>
    </row>
    <row r="71">
      <c r="A71" s="1" t="str">
        <f>'PROGRESS CONTROL'!N74</f>
        <v>CPQ11-STRC-STEE-GUAR-2X3.ifc</v>
      </c>
      <c r="B71" s="1" t="str">
        <f>'PROGRESS CONTROL'!K74</f>
        <v>V5</v>
      </c>
      <c r="C71" s="82">
        <f>'PROGRESS CONTROL'!BP74</f>
        <v>1</v>
      </c>
    </row>
    <row r="72">
      <c r="A72" s="1" t="str">
        <f>'PROGRESS CONTROL'!N75</f>
        <v>CPQ11-ARCH-METL-SITE-R24.rvt</v>
      </c>
      <c r="B72" s="1" t="str">
        <f>'PROGRESS CONTROL'!K75</f>
        <v>V2</v>
      </c>
      <c r="C72" s="82">
        <f>'PROGRESS CONTROL'!BP75</f>
        <v>1</v>
      </c>
    </row>
    <row r="73">
      <c r="A73" s="1" t="str">
        <f>'PROGRESS CONTROL'!N76</f>
        <v>CPQ11-ELEC-SPDA-DATA-R24.rvt</v>
      </c>
      <c r="B73" s="1" t="str">
        <f>'PROGRESS CONTROL'!K76</f>
        <v>V4</v>
      </c>
      <c r="C73" s="82">
        <f>'PROGRESS CONTROL'!BP76</f>
        <v>1</v>
      </c>
    </row>
    <row r="74">
      <c r="A74" s="1" t="str">
        <f>'PROGRESS CONTROL'!N77</f>
        <v>CPQ11-ELEC-SPDA-SITE-R24.rvt</v>
      </c>
      <c r="B74" s="1" t="str">
        <f>'PROGRESS CONTROL'!K77</f>
        <v>V3</v>
      </c>
      <c r="C74" s="82">
        <f>'PROGRESS CONTROL'!BP77</f>
        <v>1</v>
      </c>
    </row>
    <row r="75">
      <c r="A75" s="1" t="str">
        <f>'PROGRESS CONTROL'!N78</f>
        <v>CPQ11-ARCH-OHCD-DATA-R24.rvt</v>
      </c>
      <c r="B75" s="1" t="str">
        <f>'PROGRESS CONTROL'!K78</f>
        <v>V2</v>
      </c>
      <c r="C75" s="82">
        <f>'PROGRESS CONTROL'!BP78</f>
        <v>1</v>
      </c>
    </row>
    <row r="76">
      <c r="A76" s="1" t="str">
        <f>'PROGRESS CONTROL'!N79</f>
        <v/>
      </c>
    </row>
    <row r="77">
      <c r="A77" s="1" t="str">
        <f>'PROGRESS CONTROL'!N80</f>
        <v/>
      </c>
    </row>
    <row r="78">
      <c r="A78" s="1" t="str">
        <f>'PROGRESS CONTROL'!N81</f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  <col customWidth="1" min="2" max="2" width="36.25"/>
    <col customWidth="1" min="15" max="15" width="22.13"/>
  </cols>
  <sheetData>
    <row r="1">
      <c r="A1" s="83" t="s">
        <v>369</v>
      </c>
      <c r="B1" s="83" t="s">
        <v>370</v>
      </c>
      <c r="C1" s="83" t="s">
        <v>371</v>
      </c>
      <c r="D1" s="83" t="s">
        <v>372</v>
      </c>
      <c r="E1" s="83" t="s">
        <v>373</v>
      </c>
      <c r="F1" s="83" t="s">
        <v>374</v>
      </c>
      <c r="G1" s="83" t="s">
        <v>375</v>
      </c>
      <c r="H1" s="83" t="s">
        <v>376</v>
      </c>
      <c r="I1" s="83" t="s">
        <v>377</v>
      </c>
      <c r="J1" s="83" t="s">
        <v>378</v>
      </c>
      <c r="K1" s="83" t="s">
        <v>379</v>
      </c>
      <c r="L1" s="83" t="s">
        <v>380</v>
      </c>
      <c r="M1" s="83" t="s">
        <v>381</v>
      </c>
      <c r="N1" s="83" t="s">
        <v>382</v>
      </c>
      <c r="O1" s="83" t="s">
        <v>383</v>
      </c>
      <c r="P1" s="84" t="s">
        <v>384</v>
      </c>
    </row>
    <row r="2">
      <c r="A2" s="85" t="s">
        <v>385</v>
      </c>
      <c r="B2" s="85" t="s">
        <v>386</v>
      </c>
      <c r="C2" s="86" t="s">
        <v>387</v>
      </c>
      <c r="D2" s="86" t="s">
        <v>388</v>
      </c>
      <c r="E2" s="87"/>
      <c r="F2" s="86" t="s">
        <v>94</v>
      </c>
      <c r="G2" s="86" t="s">
        <v>389</v>
      </c>
      <c r="H2" s="87"/>
      <c r="I2" s="87"/>
      <c r="J2" s="86" t="s">
        <v>389</v>
      </c>
      <c r="K2" s="86" t="s">
        <v>390</v>
      </c>
      <c r="L2" s="86" t="s">
        <v>391</v>
      </c>
      <c r="M2" s="86" t="s">
        <v>392</v>
      </c>
      <c r="N2" s="86" t="s">
        <v>393</v>
      </c>
      <c r="O2" s="88">
        <v>46176.51111111111</v>
      </c>
      <c r="P2" s="89" t="str">
        <f>IFERROR(__xludf.DUMMYFUNCTION("IFERROR(
  TEXT(
    DATE(
      INDEX(SPLIT(O2,"" ""),3),
      VLOOKUP(INDEX(SPLIT(O2,"" ""),1),{""jan."",1;""Feb"",2;""mar."",3;""Apr"",4;""May"",5;""jun."",6;""jul."",7;""Aug"",8;""sep"",9;""Oct"",10;""nov."",11;""Dec"",12},2,FALSE),
      INDEX(SPLIT"&amp;"(O2,"" ""),2)
    ),
    ""dd/mm/yyyy""
  ),
"""")"),"03/06/2026")</f>
        <v>03/06/2026</v>
      </c>
    </row>
    <row r="3">
      <c r="A3" s="85" t="s">
        <v>394</v>
      </c>
      <c r="B3" s="85" t="s">
        <v>395</v>
      </c>
      <c r="C3" s="86" t="s">
        <v>387</v>
      </c>
      <c r="D3" s="86" t="s">
        <v>388</v>
      </c>
      <c r="E3" s="87"/>
      <c r="F3" s="86" t="s">
        <v>71</v>
      </c>
      <c r="G3" s="86" t="s">
        <v>389</v>
      </c>
      <c r="H3" s="87"/>
      <c r="I3" s="87"/>
      <c r="J3" s="86" t="s">
        <v>389</v>
      </c>
      <c r="K3" s="86" t="s">
        <v>390</v>
      </c>
      <c r="L3" s="86" t="s">
        <v>391</v>
      </c>
      <c r="M3" s="86" t="s">
        <v>392</v>
      </c>
      <c r="N3" s="86" t="s">
        <v>396</v>
      </c>
      <c r="O3" s="88">
        <v>46218.54861111111</v>
      </c>
      <c r="P3" s="89" t="str">
        <f>IFERROR(__xludf.DUMMYFUNCTION("IFERROR(
  TEXT(
    DATE(
      INDEX(SPLIT(O3,"" ""),3),
      VLOOKUP(INDEX(SPLIT(O3,"" ""),1),{""jan."",1;""Feb"",2;""mar."",3;""Apr"",4;""May"",5;""jun."",6;""jul."",7;""Aug"",8;""sep"",9;""Oct"",10;""nov."",11;""Dec"",12},2,FALSE),
      INDEX(SPLIT"&amp;"(O3,"" ""),2)
    ),
    ""dd/mm/yyyy""
  ),
"""")"),"15/07/2026")</f>
        <v>15/07/2026</v>
      </c>
    </row>
    <row r="4">
      <c r="A4" s="85" t="s">
        <v>397</v>
      </c>
      <c r="B4" s="85" t="s">
        <v>398</v>
      </c>
      <c r="C4" s="86" t="s">
        <v>387</v>
      </c>
      <c r="D4" s="86" t="s">
        <v>388</v>
      </c>
      <c r="E4" s="87"/>
      <c r="F4" s="86" t="s">
        <v>86</v>
      </c>
      <c r="G4" s="86" t="s">
        <v>389</v>
      </c>
      <c r="H4" s="87"/>
      <c r="I4" s="87"/>
      <c r="J4" s="86" t="s">
        <v>389</v>
      </c>
      <c r="K4" s="86" t="s">
        <v>390</v>
      </c>
      <c r="L4" s="86" t="s">
        <v>391</v>
      </c>
      <c r="M4" s="86" t="s">
        <v>392</v>
      </c>
      <c r="N4" s="86" t="s">
        <v>399</v>
      </c>
      <c r="O4" s="86" t="s">
        <v>400</v>
      </c>
      <c r="P4" s="89" t="str">
        <f>IFERROR(__xludf.DUMMYFUNCTION("IFERROR(
  TEXT(
    DATE(
      INDEX(SPLIT(O4,"" ""),3),
      VLOOKUP(INDEX(SPLIT(O4,"" ""),1),{""jan."",1;""Feb"",2;""mar."",3;""Apr"",4;""May"",5;""jun."",6;""jul."",7;""Aug"",8;""sep"",9;""Oct"",10;""nov."",11;""Dec"",12},2,FALSE),
      INDEX(SPLIT"&amp;"(O4,"" ""),2)
    ),
    ""dd/mm/yyyy""
  ),
"""")"),"20/05/2026")</f>
        <v>20/05/2026</v>
      </c>
    </row>
    <row r="5">
      <c r="A5" s="85" t="s">
        <v>401</v>
      </c>
      <c r="B5" s="85" t="s">
        <v>402</v>
      </c>
      <c r="C5" s="86" t="s">
        <v>387</v>
      </c>
      <c r="D5" s="86" t="s">
        <v>388</v>
      </c>
      <c r="E5" s="87"/>
      <c r="F5" s="86" t="s">
        <v>86</v>
      </c>
      <c r="G5" s="86" t="s">
        <v>389</v>
      </c>
      <c r="H5" s="87"/>
      <c r="I5" s="87"/>
      <c r="J5" s="86" t="s">
        <v>389</v>
      </c>
      <c r="K5" s="86" t="s">
        <v>390</v>
      </c>
      <c r="L5" s="86" t="s">
        <v>391</v>
      </c>
      <c r="M5" s="86" t="s">
        <v>392</v>
      </c>
      <c r="N5" s="86" t="s">
        <v>403</v>
      </c>
      <c r="O5" s="88">
        <v>46177.799305555556</v>
      </c>
      <c r="P5" s="89" t="str">
        <f>IFERROR(__xludf.DUMMYFUNCTION("IFERROR(
  TEXT(
    DATE(
      INDEX(SPLIT(O5,"" ""),3),
      VLOOKUP(INDEX(SPLIT(O5,"" ""),1),{""jan."",1;""Feb"",2;""mar."",3;""Apr"",4;""May"",5;""jun."",6;""jul."",7;""Aug"",8;""sep"",9;""Oct"",10;""nov."",11;""Dec"",12},2,FALSE),
      INDEX(SPLIT"&amp;"(O5,"" ""),2)
    ),
    ""dd/mm/yyyy""
  ),
"""")"),"04/06/2026")</f>
        <v>04/06/2026</v>
      </c>
    </row>
    <row r="6">
      <c r="A6" s="85" t="s">
        <v>404</v>
      </c>
      <c r="B6" s="85" t="s">
        <v>405</v>
      </c>
      <c r="C6" s="86" t="s">
        <v>387</v>
      </c>
      <c r="D6" s="86" t="s">
        <v>388</v>
      </c>
      <c r="E6" s="87"/>
      <c r="F6" s="86" t="s">
        <v>86</v>
      </c>
      <c r="G6" s="86" t="s">
        <v>389</v>
      </c>
      <c r="H6" s="87"/>
      <c r="I6" s="87"/>
      <c r="J6" s="86" t="s">
        <v>389</v>
      </c>
      <c r="K6" s="86" t="s">
        <v>390</v>
      </c>
      <c r="L6" s="86" t="s">
        <v>391</v>
      </c>
      <c r="M6" s="86" t="s">
        <v>392</v>
      </c>
      <c r="N6" s="86" t="s">
        <v>406</v>
      </c>
      <c r="O6" s="88">
        <v>46185.70486111111</v>
      </c>
      <c r="P6" s="89" t="str">
        <f>IFERROR(__xludf.DUMMYFUNCTION("IFERROR(
  TEXT(
    DATE(
      INDEX(SPLIT(O6,"" ""),3),
      VLOOKUP(INDEX(SPLIT(O6,"" ""),1),{""jan."",1;""Feb"",2;""mar."",3;""Apr"",4;""May"",5;""jun."",6;""jul."",7;""Aug"",8;""sep"",9;""Oct"",10;""nov."",11;""Dec"",12},2,FALSE),
      INDEX(SPLIT"&amp;"(O6,"" ""),2)
    ),
    ""dd/mm/yyyy""
  ),
"""")"),"12/06/2026")</f>
        <v>12/06/2026</v>
      </c>
    </row>
    <row r="7">
      <c r="A7" s="85" t="s">
        <v>407</v>
      </c>
      <c r="B7" s="85" t="s">
        <v>408</v>
      </c>
      <c r="C7" s="86" t="s">
        <v>387</v>
      </c>
      <c r="D7" s="86" t="s">
        <v>388</v>
      </c>
      <c r="E7" s="87"/>
      <c r="F7" s="86" t="s">
        <v>86</v>
      </c>
      <c r="G7" s="86" t="s">
        <v>389</v>
      </c>
      <c r="H7" s="87"/>
      <c r="I7" s="87"/>
      <c r="J7" s="86" t="s">
        <v>389</v>
      </c>
      <c r="K7" s="86" t="s">
        <v>390</v>
      </c>
      <c r="L7" s="86" t="s">
        <v>391</v>
      </c>
      <c r="M7" s="86" t="s">
        <v>392</v>
      </c>
      <c r="N7" s="86" t="s">
        <v>409</v>
      </c>
      <c r="O7" s="86" t="s">
        <v>410</v>
      </c>
      <c r="P7" s="89" t="str">
        <f>IFERROR(__xludf.DUMMYFUNCTION("IFERROR(
  TEXT(
    DATE(
      INDEX(SPLIT(O7,"" ""),3),
      VLOOKUP(INDEX(SPLIT(O7,"" ""),1),{""jan."",1;""Feb"",2;""mar."",3;""Apr"",4;""May"",5;""jun."",6;""jul."",7;""Aug"",8;""sep"",9;""Oct"",10;""nov."",11;""Dec"",12},2,FALSE),
      INDEX(SPLIT"&amp;"(O7,"" ""),2)
    ),
    ""dd/mm/yyyy""
  ),
"""")"),"15/05/2026")</f>
        <v>15/05/2026</v>
      </c>
    </row>
    <row r="8">
      <c r="A8" s="85" t="s">
        <v>411</v>
      </c>
      <c r="B8" s="85" t="s">
        <v>412</v>
      </c>
      <c r="C8" s="86" t="s">
        <v>387</v>
      </c>
      <c r="D8" s="86" t="s">
        <v>388</v>
      </c>
      <c r="E8" s="87"/>
      <c r="F8" s="86" t="s">
        <v>94</v>
      </c>
      <c r="G8" s="86" t="s">
        <v>389</v>
      </c>
      <c r="H8" s="87"/>
      <c r="I8" s="87"/>
      <c r="J8" s="86" t="s">
        <v>389</v>
      </c>
      <c r="K8" s="86" t="s">
        <v>390</v>
      </c>
      <c r="L8" s="86" t="s">
        <v>391</v>
      </c>
      <c r="M8" s="86" t="s">
        <v>392</v>
      </c>
      <c r="N8" s="86" t="s">
        <v>413</v>
      </c>
      <c r="O8" s="88">
        <v>46210.75069444445</v>
      </c>
      <c r="P8" s="89" t="str">
        <f>IFERROR(__xludf.DUMMYFUNCTION("IFERROR(
  TEXT(
    DATE(
      INDEX(SPLIT(O8,"" ""),3),
      VLOOKUP(INDEX(SPLIT(O8,"" ""),1),{""jan."",1;""Feb"",2;""mar."",3;""Apr"",4;""May"",5;""jun."",6;""jul."",7;""Aug"",8;""sep"",9;""Oct"",10;""nov."",11;""Dec"",12},2,FALSE),
      INDEX(SPLIT"&amp;"(O8,"" ""),2)
    ),
    ""dd/mm/yyyy""
  ),
"""")"),"07/07/2026")</f>
        <v>07/07/2026</v>
      </c>
    </row>
    <row r="9">
      <c r="A9" s="85" t="s">
        <v>414</v>
      </c>
      <c r="B9" s="85" t="s">
        <v>415</v>
      </c>
      <c r="C9" s="86" t="s">
        <v>387</v>
      </c>
      <c r="D9" s="86" t="s">
        <v>388</v>
      </c>
      <c r="E9" s="87"/>
      <c r="F9" s="86" t="s">
        <v>103</v>
      </c>
      <c r="G9" s="86" t="s">
        <v>389</v>
      </c>
      <c r="H9" s="87"/>
      <c r="I9" s="87"/>
      <c r="J9" s="86" t="s">
        <v>389</v>
      </c>
      <c r="K9" s="86" t="s">
        <v>390</v>
      </c>
      <c r="L9" s="86" t="s">
        <v>391</v>
      </c>
      <c r="M9" s="86" t="s">
        <v>392</v>
      </c>
      <c r="N9" s="86" t="s">
        <v>416</v>
      </c>
      <c r="O9" s="88">
        <v>46199.59444444445</v>
      </c>
      <c r="P9" s="89" t="str">
        <f>IFERROR(__xludf.DUMMYFUNCTION("IFERROR(
  TEXT(
    DATE(
      INDEX(SPLIT(O9,"" ""),3),
      VLOOKUP(INDEX(SPLIT(O9,"" ""),1),{""jan."",1;""Feb"",2;""mar."",3;""Apr"",4;""May"",5;""jun."",6;""jul."",7;""Aug"",8;""sep"",9;""Oct"",10;""nov."",11;""Dec"",12},2,FALSE),
      INDEX(SPLIT"&amp;"(O9,"" ""),2)
    ),
    ""dd/mm/yyyy""
  ),
"""")"),"26/06/2026")</f>
        <v>26/06/2026</v>
      </c>
    </row>
    <row r="10">
      <c r="A10" s="85" t="s">
        <v>417</v>
      </c>
      <c r="B10" s="85" t="s">
        <v>418</v>
      </c>
      <c r="C10" s="86" t="s">
        <v>387</v>
      </c>
      <c r="D10" s="86" t="s">
        <v>388</v>
      </c>
      <c r="E10" s="87"/>
      <c r="F10" s="86" t="s">
        <v>86</v>
      </c>
      <c r="G10" s="86" t="s">
        <v>389</v>
      </c>
      <c r="H10" s="87"/>
      <c r="I10" s="87"/>
      <c r="J10" s="86" t="s">
        <v>389</v>
      </c>
      <c r="K10" s="86" t="s">
        <v>390</v>
      </c>
      <c r="L10" s="86" t="s">
        <v>391</v>
      </c>
      <c r="M10" s="86" t="s">
        <v>392</v>
      </c>
      <c r="N10" s="86" t="s">
        <v>419</v>
      </c>
      <c r="O10" s="86" t="s">
        <v>420</v>
      </c>
      <c r="P10" s="89" t="str">
        <f>IFERROR(__xludf.DUMMYFUNCTION("IFERROR(
  TEXT(
    DATE(
      INDEX(SPLIT(O10,"" ""),3),
      VLOOKUP(INDEX(SPLIT(O10,"" ""),1),{""jan."",1;""Feb"",2;""mar."",3;""Apr"",4;""May"",5;""jun."",6;""jul."",7;""Aug"",8;""sep"",9;""Oct"",10;""nov."",11;""Dec"",12},2,FALSE),
      INDEX(SPL"&amp;"IT(O10,"" ""),2)
    ),
    ""dd/mm/yyyy""
  ),
"""")"),"15/05/2026")</f>
        <v>15/05/2026</v>
      </c>
    </row>
    <row r="11">
      <c r="A11" s="85" t="s">
        <v>421</v>
      </c>
      <c r="B11" s="85" t="s">
        <v>422</v>
      </c>
      <c r="C11" s="86" t="s">
        <v>387</v>
      </c>
      <c r="D11" s="86" t="s">
        <v>388</v>
      </c>
      <c r="E11" s="87"/>
      <c r="F11" s="86" t="s">
        <v>86</v>
      </c>
      <c r="G11" s="86" t="s">
        <v>389</v>
      </c>
      <c r="H11" s="87"/>
      <c r="I11" s="87"/>
      <c r="J11" s="86" t="s">
        <v>389</v>
      </c>
      <c r="K11" s="86" t="s">
        <v>390</v>
      </c>
      <c r="L11" s="86" t="s">
        <v>391</v>
      </c>
      <c r="M11" s="86" t="s">
        <v>392</v>
      </c>
      <c r="N11" s="86" t="s">
        <v>423</v>
      </c>
      <c r="O11" s="86" t="s">
        <v>424</v>
      </c>
      <c r="P11" s="89" t="str">
        <f>IFERROR(__xludf.DUMMYFUNCTION("IFERROR(
  TEXT(
    DATE(
      INDEX(SPLIT(O11,"" ""),3),
      VLOOKUP(INDEX(SPLIT(O11,"" ""),1),{""jan."",1;""Feb"",2;""mar."",3;""Apr"",4;""May"",5;""jun."",6;""jul."",7;""Aug"",8;""sep"",9;""Oct"",10;""nov."",11;""Dec"",12},2,FALSE),
      INDEX(SPL"&amp;"IT(O11,"" ""),2)
    ),
    ""dd/mm/yyyy""
  ),
"""")"),"15/05/2026")</f>
        <v>15/05/2026</v>
      </c>
    </row>
    <row r="12">
      <c r="A12" s="85" t="s">
        <v>425</v>
      </c>
      <c r="B12" s="85" t="s">
        <v>426</v>
      </c>
      <c r="C12" s="86" t="s">
        <v>387</v>
      </c>
      <c r="D12" s="86" t="s">
        <v>388</v>
      </c>
      <c r="E12" s="87"/>
      <c r="F12" s="86" t="s">
        <v>131</v>
      </c>
      <c r="G12" s="86" t="s">
        <v>389</v>
      </c>
      <c r="H12" s="87"/>
      <c r="I12" s="87"/>
      <c r="J12" s="86" t="s">
        <v>389</v>
      </c>
      <c r="K12" s="86" t="s">
        <v>390</v>
      </c>
      <c r="L12" s="86" t="s">
        <v>391</v>
      </c>
      <c r="M12" s="86" t="s">
        <v>392</v>
      </c>
      <c r="N12" s="86" t="s">
        <v>427</v>
      </c>
      <c r="O12" s="88">
        <v>46195.67222222222</v>
      </c>
      <c r="P12" s="89" t="str">
        <f>IFERROR(__xludf.DUMMYFUNCTION("IFERROR(
  TEXT(
    DATE(
      INDEX(SPLIT(O12,"" ""),3),
      VLOOKUP(INDEX(SPLIT(O12,"" ""),1),{""jan."",1;""Feb"",2;""mar."",3;""Apr"",4;""May"",5;""jun."",6;""jul."",7;""Aug"",8;""sep"",9;""Oct"",10;""nov."",11;""Dec"",12},2,FALSE),
      INDEX(SPL"&amp;"IT(O12,"" ""),2)
    ),
    ""dd/mm/yyyy""
  ),
"""")"),"22/06/2026")</f>
        <v>22/06/2026</v>
      </c>
    </row>
    <row r="13">
      <c r="A13" s="85" t="s">
        <v>428</v>
      </c>
      <c r="B13" s="85" t="s">
        <v>429</v>
      </c>
      <c r="C13" s="86" t="s">
        <v>387</v>
      </c>
      <c r="D13" s="86" t="s">
        <v>388</v>
      </c>
      <c r="E13" s="87"/>
      <c r="F13" s="86" t="s">
        <v>103</v>
      </c>
      <c r="G13" s="86" t="s">
        <v>389</v>
      </c>
      <c r="H13" s="87"/>
      <c r="I13" s="87"/>
      <c r="J13" s="86" t="s">
        <v>389</v>
      </c>
      <c r="K13" s="86" t="s">
        <v>390</v>
      </c>
      <c r="L13" s="86" t="s">
        <v>391</v>
      </c>
      <c r="M13" s="86" t="s">
        <v>392</v>
      </c>
      <c r="N13" s="86" t="s">
        <v>430</v>
      </c>
      <c r="O13" s="88">
        <v>46177.45972222222</v>
      </c>
      <c r="P13" s="89" t="str">
        <f>IFERROR(__xludf.DUMMYFUNCTION("IFERROR(
  TEXT(
    DATE(
      INDEX(SPLIT(O13,"" ""),3),
      VLOOKUP(INDEX(SPLIT(O13,"" ""),1),{""jan."",1;""Feb"",2;""mar."",3;""Apr"",4;""May"",5;""jun."",6;""jul."",7;""Aug"",8;""sep"",9;""Oct"",10;""nov."",11;""Dec"",12},2,FALSE),
      INDEX(SPL"&amp;"IT(O13,"" ""),2)
    ),
    ""dd/mm/yyyy""
  ),
"""")"),"04/06/2026")</f>
        <v>04/06/2026</v>
      </c>
    </row>
    <row r="14">
      <c r="A14" s="85" t="s">
        <v>431</v>
      </c>
      <c r="B14" s="85" t="s">
        <v>432</v>
      </c>
      <c r="C14" s="86" t="s">
        <v>387</v>
      </c>
      <c r="D14" s="86" t="s">
        <v>388</v>
      </c>
      <c r="E14" s="87"/>
      <c r="F14" s="86" t="s">
        <v>103</v>
      </c>
      <c r="G14" s="86" t="s">
        <v>389</v>
      </c>
      <c r="H14" s="87"/>
      <c r="I14" s="87"/>
      <c r="J14" s="86" t="s">
        <v>389</v>
      </c>
      <c r="K14" s="86" t="s">
        <v>390</v>
      </c>
      <c r="L14" s="86" t="s">
        <v>391</v>
      </c>
      <c r="M14" s="86" t="s">
        <v>392</v>
      </c>
      <c r="N14" s="86" t="s">
        <v>433</v>
      </c>
      <c r="O14" s="86" t="s">
        <v>434</v>
      </c>
      <c r="P14" s="89" t="str">
        <f>IFERROR(__xludf.DUMMYFUNCTION("IFERROR(
  TEXT(
    DATE(
      INDEX(SPLIT(O14,"" ""),3),
      VLOOKUP(INDEX(SPLIT(O14,"" ""),1),{""jan."",1;""Feb"",2;""mar."",3;""Apr"",4;""May"",5;""jun."",6;""jul."",7;""Aug"",8;""sep"",9;""Oct"",10;""nov."",11;""Dec"",12},2,FALSE),
      INDEX(SPL"&amp;"IT(O14,"" ""),2)
    ),
    ""dd/mm/yyyy""
  ),
"""")"),"27/05/2026")</f>
        <v>27/05/2026</v>
      </c>
    </row>
    <row r="15">
      <c r="A15" s="85" t="s">
        <v>435</v>
      </c>
      <c r="B15" s="85" t="s">
        <v>436</v>
      </c>
      <c r="C15" s="86" t="s">
        <v>387</v>
      </c>
      <c r="D15" s="86" t="s">
        <v>388</v>
      </c>
      <c r="E15" s="87"/>
      <c r="F15" s="86" t="s">
        <v>86</v>
      </c>
      <c r="G15" s="86" t="s">
        <v>389</v>
      </c>
      <c r="H15" s="87"/>
      <c r="I15" s="87"/>
      <c r="J15" s="86" t="s">
        <v>389</v>
      </c>
      <c r="K15" s="86" t="s">
        <v>390</v>
      </c>
      <c r="L15" s="86" t="s">
        <v>391</v>
      </c>
      <c r="M15" s="86" t="s">
        <v>392</v>
      </c>
      <c r="N15" s="86" t="s">
        <v>437</v>
      </c>
      <c r="O15" s="86" t="s">
        <v>438</v>
      </c>
      <c r="P15" s="89" t="str">
        <f>IFERROR(__xludf.DUMMYFUNCTION("IFERROR(
  TEXT(
    DATE(
      INDEX(SPLIT(O15,"" ""),3),
      VLOOKUP(INDEX(SPLIT(O15,"" ""),1),{""jan."",1;""Feb"",2;""mar."",3;""Apr"",4;""May"",5;""jun."",6;""jul."",7;""Aug"",8;""sep"",9;""Oct"",10;""nov."",11;""Dec"",12},2,FALSE),
      INDEX(SPL"&amp;"IT(O15,"" ""),2)
    ),
    ""dd/mm/yyyy""
  ),
"""")"),"19/05/2026")</f>
        <v>19/05/2026</v>
      </c>
    </row>
    <row r="16">
      <c r="A16" s="85" t="s">
        <v>439</v>
      </c>
      <c r="B16" s="85" t="s">
        <v>440</v>
      </c>
      <c r="C16" s="86" t="s">
        <v>387</v>
      </c>
      <c r="D16" s="86" t="s">
        <v>388</v>
      </c>
      <c r="E16" s="87"/>
      <c r="F16" s="86" t="s">
        <v>103</v>
      </c>
      <c r="G16" s="86" t="s">
        <v>389</v>
      </c>
      <c r="H16" s="87"/>
      <c r="I16" s="87"/>
      <c r="J16" s="86" t="s">
        <v>389</v>
      </c>
      <c r="K16" s="86" t="s">
        <v>390</v>
      </c>
      <c r="L16" s="86" t="s">
        <v>391</v>
      </c>
      <c r="M16" s="86" t="s">
        <v>392</v>
      </c>
      <c r="N16" s="86" t="s">
        <v>441</v>
      </c>
      <c r="O16" s="88">
        <v>46190.81805555556</v>
      </c>
      <c r="P16" s="89" t="str">
        <f>IFERROR(__xludf.DUMMYFUNCTION("IFERROR(
  TEXT(
    DATE(
      INDEX(SPLIT(O16,"" ""),3),
      VLOOKUP(INDEX(SPLIT(O16,"" ""),1),{""jan."",1;""Feb"",2;""mar."",3;""Apr"",4;""May"",5;""jun."",6;""jul."",7;""Aug"",8;""sep"",9;""Oct"",10;""nov."",11;""Dec"",12},2,FALSE),
      INDEX(SPL"&amp;"IT(O16,"" ""),2)
    ),
    ""dd/mm/yyyy""
  ),
"""")"),"17/06/2026")</f>
        <v>17/06/2026</v>
      </c>
    </row>
    <row r="17">
      <c r="A17" s="85" t="s">
        <v>442</v>
      </c>
      <c r="B17" s="85" t="s">
        <v>443</v>
      </c>
      <c r="C17" s="86" t="s">
        <v>387</v>
      </c>
      <c r="D17" s="86" t="s">
        <v>388</v>
      </c>
      <c r="E17" s="87"/>
      <c r="F17" s="86" t="s">
        <v>103</v>
      </c>
      <c r="G17" s="86" t="s">
        <v>389</v>
      </c>
      <c r="H17" s="87"/>
      <c r="I17" s="87"/>
      <c r="J17" s="86" t="s">
        <v>389</v>
      </c>
      <c r="K17" s="86" t="s">
        <v>390</v>
      </c>
      <c r="L17" s="86" t="s">
        <v>391</v>
      </c>
      <c r="M17" s="86" t="s">
        <v>392</v>
      </c>
      <c r="N17" s="86" t="s">
        <v>444</v>
      </c>
      <c r="O17" s="86" t="s">
        <v>445</v>
      </c>
      <c r="P17" s="89" t="str">
        <f>IFERROR(__xludf.DUMMYFUNCTION("IFERROR(
  TEXT(
    DATE(
      INDEX(SPLIT(O17,"" ""),3),
      VLOOKUP(INDEX(SPLIT(O17,"" ""),1),{""jan."",1;""Feb"",2;""mar."",3;""Apr"",4;""May"",5;""jun."",6;""jul."",7;""Aug"",8;""sep"",9;""Oct"",10;""nov."",11;""Dec"",12},2,FALSE),
      INDEX(SPL"&amp;"IT(O17,"" ""),2)
    ),
    ""dd/mm/yyyy""
  ),
"""")"),"20/05/2026")</f>
        <v>20/05/2026</v>
      </c>
    </row>
    <row r="18">
      <c r="A18" s="85" t="s">
        <v>446</v>
      </c>
      <c r="B18" s="85" t="s">
        <v>447</v>
      </c>
      <c r="C18" s="86" t="s">
        <v>387</v>
      </c>
      <c r="D18" s="86" t="s">
        <v>388</v>
      </c>
      <c r="E18" s="87"/>
      <c r="F18" s="86" t="s">
        <v>86</v>
      </c>
      <c r="G18" s="86" t="s">
        <v>389</v>
      </c>
      <c r="H18" s="87"/>
      <c r="I18" s="87"/>
      <c r="J18" s="86" t="s">
        <v>389</v>
      </c>
      <c r="K18" s="86" t="s">
        <v>390</v>
      </c>
      <c r="L18" s="86" t="s">
        <v>391</v>
      </c>
      <c r="M18" s="86" t="s">
        <v>392</v>
      </c>
      <c r="N18" s="86" t="s">
        <v>448</v>
      </c>
      <c r="O18" s="86" t="s">
        <v>449</v>
      </c>
      <c r="P18" s="89" t="str">
        <f>IFERROR(__xludf.DUMMYFUNCTION("IFERROR(
  TEXT(
    DATE(
      INDEX(SPLIT(O18,"" ""),3),
      VLOOKUP(INDEX(SPLIT(O18,"" ""),1),{""jan."",1;""Feb"",2;""mar."",3;""Apr"",4;""May"",5;""jun."",6;""jul."",7;""Aug"",8;""sep"",9;""Oct"",10;""nov."",11;""Dec"",12},2,FALSE),
      INDEX(SPL"&amp;"IT(O18,"" ""),2)
    ),
    ""dd/mm/yyyy""
  ),
"""")"),"20/05/2026")</f>
        <v>20/05/2026</v>
      </c>
    </row>
    <row r="19">
      <c r="A19" s="85" t="s">
        <v>450</v>
      </c>
      <c r="B19" s="85" t="s">
        <v>451</v>
      </c>
      <c r="C19" s="86" t="s">
        <v>387</v>
      </c>
      <c r="D19" s="86" t="s">
        <v>388</v>
      </c>
      <c r="E19" s="87"/>
      <c r="F19" s="86" t="s">
        <v>94</v>
      </c>
      <c r="G19" s="86" t="s">
        <v>389</v>
      </c>
      <c r="H19" s="87"/>
      <c r="I19" s="87"/>
      <c r="J19" s="86" t="s">
        <v>389</v>
      </c>
      <c r="K19" s="86" t="s">
        <v>390</v>
      </c>
      <c r="L19" s="86" t="s">
        <v>391</v>
      </c>
      <c r="M19" s="86" t="s">
        <v>392</v>
      </c>
      <c r="N19" s="86" t="s">
        <v>452</v>
      </c>
      <c r="O19" s="88">
        <v>46182.60138888889</v>
      </c>
      <c r="P19" s="89" t="str">
        <f>IFERROR(__xludf.DUMMYFUNCTION("IFERROR(
  TEXT(
    DATE(
      INDEX(SPLIT(O19,"" ""),3),
      VLOOKUP(INDEX(SPLIT(O19,"" ""),1),{""jan."",1;""Feb"",2;""mar."",3;""Apr"",4;""May"",5;""jun."",6;""jul."",7;""Aug"",8;""sep"",9;""Oct"",10;""nov."",11;""Dec"",12},2,FALSE),
      INDEX(SPL"&amp;"IT(O19,"" ""),2)
    ),
    ""dd/mm/yyyy""
  ),
"""")"),"09/06/2026")</f>
        <v>09/06/2026</v>
      </c>
    </row>
    <row r="20">
      <c r="A20" s="85" t="s">
        <v>453</v>
      </c>
      <c r="B20" s="85" t="s">
        <v>454</v>
      </c>
      <c r="C20" s="86" t="s">
        <v>387</v>
      </c>
      <c r="D20" s="86" t="s">
        <v>388</v>
      </c>
      <c r="E20" s="87"/>
      <c r="F20" s="86" t="s">
        <v>94</v>
      </c>
      <c r="G20" s="86" t="s">
        <v>389</v>
      </c>
      <c r="H20" s="87"/>
      <c r="I20" s="87"/>
      <c r="J20" s="86" t="s">
        <v>389</v>
      </c>
      <c r="K20" s="86" t="s">
        <v>390</v>
      </c>
      <c r="L20" s="86" t="s">
        <v>391</v>
      </c>
      <c r="M20" s="86" t="s">
        <v>392</v>
      </c>
      <c r="N20" s="86" t="s">
        <v>455</v>
      </c>
      <c r="O20" s="88">
        <v>46197.677083333336</v>
      </c>
      <c r="P20" s="89" t="str">
        <f>IFERROR(__xludf.DUMMYFUNCTION("IFERROR(
  TEXT(
    DATE(
      INDEX(SPLIT(O20,"" ""),3),
      VLOOKUP(INDEX(SPLIT(O20,"" ""),1),{""jan."",1;""Feb"",2;""mar."",3;""Apr"",4;""May"",5;""jun."",6;""jul."",7;""Aug"",8;""sep"",9;""Oct"",10;""nov."",11;""Dec"",12},2,FALSE),
      INDEX(SPL"&amp;"IT(O20,"" ""),2)
    ),
    ""dd/mm/yyyy""
  ),
"""")"),"24/06/2026")</f>
        <v>24/06/2026</v>
      </c>
    </row>
    <row r="21">
      <c r="A21" s="85" t="s">
        <v>456</v>
      </c>
      <c r="B21" s="85" t="s">
        <v>457</v>
      </c>
      <c r="C21" s="90"/>
      <c r="D21" s="90"/>
      <c r="E21" s="87"/>
      <c r="F21" s="86" t="s">
        <v>94</v>
      </c>
      <c r="G21" s="86" t="s">
        <v>389</v>
      </c>
      <c r="H21" s="87"/>
      <c r="I21" s="87"/>
      <c r="J21" s="86" t="s">
        <v>389</v>
      </c>
      <c r="K21" s="86" t="s">
        <v>390</v>
      </c>
      <c r="L21" s="86" t="s">
        <v>391</v>
      </c>
      <c r="M21" s="86" t="s">
        <v>392</v>
      </c>
      <c r="N21" s="86" t="s">
        <v>458</v>
      </c>
      <c r="O21" s="88">
        <v>46176.50347222222</v>
      </c>
      <c r="P21" s="89" t="str">
        <f>IFERROR(__xludf.DUMMYFUNCTION("IFERROR(
  TEXT(
    DATE(
      INDEX(SPLIT(O21,"" ""),3),
      VLOOKUP(INDEX(SPLIT(O21,"" ""),1),{""jan."",1;""Feb"",2;""mar."",3;""Apr"",4;""May"",5;""jun."",6;""jul."",7;""Aug"",8;""sep"",9;""Oct"",10;""nov."",11;""Dec"",12},2,FALSE),
      INDEX(SPL"&amp;"IT(O21,"" ""),2)
    ),
    ""dd/mm/yyyy""
  ),
"""")"),"03/06/2026")</f>
        <v>03/06/2026</v>
      </c>
    </row>
    <row r="22">
      <c r="A22" s="85" t="s">
        <v>459</v>
      </c>
      <c r="B22" s="85" t="s">
        <v>460</v>
      </c>
      <c r="C22" s="90"/>
      <c r="D22" s="90"/>
      <c r="E22" s="87"/>
      <c r="F22" s="86" t="s">
        <v>94</v>
      </c>
      <c r="G22" s="86" t="s">
        <v>389</v>
      </c>
      <c r="H22" s="87"/>
      <c r="I22" s="87"/>
      <c r="J22" s="86" t="s">
        <v>389</v>
      </c>
      <c r="K22" s="86" t="s">
        <v>390</v>
      </c>
      <c r="L22" s="86" t="s">
        <v>391</v>
      </c>
      <c r="M22" s="86" t="s">
        <v>392</v>
      </c>
      <c r="N22" s="86" t="s">
        <v>461</v>
      </c>
      <c r="O22" s="88">
        <v>46218.54722222222</v>
      </c>
      <c r="P22" s="89" t="str">
        <f>IFERROR(__xludf.DUMMYFUNCTION("IFERROR(
  TEXT(
    DATE(
      INDEX(SPLIT(O22,"" ""),3),
      VLOOKUP(INDEX(SPLIT(O22,"" ""),1),{""jan."",1;""Feb"",2;""mar."",3;""Apr"",4;""May"",5;""jun."",6;""jul."",7;""Aug"",8;""sep"",9;""Oct"",10;""nov."",11;""Dec"",12},2,FALSE),
      INDEX(SPL"&amp;"IT(O22,"" ""),2)
    ),
    ""dd/mm/yyyy""
  ),
"""")"),"15/07/2026")</f>
        <v>15/07/2026</v>
      </c>
    </row>
    <row r="23">
      <c r="A23" s="85" t="s">
        <v>462</v>
      </c>
      <c r="B23" s="85" t="s">
        <v>463</v>
      </c>
      <c r="C23" s="90"/>
      <c r="D23" s="90"/>
      <c r="E23" s="87"/>
      <c r="F23" s="86" t="s">
        <v>86</v>
      </c>
      <c r="G23" s="86" t="s">
        <v>389</v>
      </c>
      <c r="H23" s="87"/>
      <c r="I23" s="87"/>
      <c r="J23" s="86" t="s">
        <v>389</v>
      </c>
      <c r="K23" s="86" t="s">
        <v>390</v>
      </c>
      <c r="L23" s="86" t="s">
        <v>391</v>
      </c>
      <c r="M23" s="86" t="s">
        <v>392</v>
      </c>
      <c r="N23" s="86" t="s">
        <v>464</v>
      </c>
      <c r="O23" s="86" t="s">
        <v>465</v>
      </c>
      <c r="P23" s="89" t="str">
        <f>IFERROR(__xludf.DUMMYFUNCTION("IFERROR(
  TEXT(
    DATE(
      INDEX(SPLIT(O23,"" ""),3),
      VLOOKUP(INDEX(SPLIT(O23,"" ""),1),{""jan."",1;""Feb"",2;""mar."",3;""Apr"",4;""May"",5;""jun."",6;""jul."",7;""Aug"",8;""sep"",9;""Oct"",10;""nov."",11;""Dec"",12},2,FALSE),
      INDEX(SPL"&amp;"IT(O23,"" ""),2)
    ),
    ""dd/mm/yyyy""
  ),
"""")"),"15/05/2026")</f>
        <v>15/05/2026</v>
      </c>
    </row>
    <row r="24">
      <c r="A24" s="85" t="s">
        <v>466</v>
      </c>
      <c r="B24" s="85" t="s">
        <v>467</v>
      </c>
      <c r="C24" s="90"/>
      <c r="D24" s="90"/>
      <c r="E24" s="87"/>
      <c r="F24" s="86" t="s">
        <v>103</v>
      </c>
      <c r="G24" s="86" t="s">
        <v>389</v>
      </c>
      <c r="H24" s="87"/>
      <c r="I24" s="87"/>
      <c r="J24" s="86" t="s">
        <v>389</v>
      </c>
      <c r="K24" s="86" t="s">
        <v>390</v>
      </c>
      <c r="L24" s="86" t="s">
        <v>391</v>
      </c>
      <c r="M24" s="86" t="s">
        <v>392</v>
      </c>
      <c r="N24" s="86" t="s">
        <v>468</v>
      </c>
      <c r="O24" s="88">
        <v>46210.74097222222</v>
      </c>
      <c r="P24" s="89" t="str">
        <f>IFERROR(__xludf.DUMMYFUNCTION("IFERROR(
  TEXT(
    DATE(
      INDEX(SPLIT(O24,"" ""),3),
      VLOOKUP(INDEX(SPLIT(O24,"" ""),1),{""jan."",1;""Feb"",2;""mar."",3;""Apr"",4;""May"",5;""jun."",6;""jul."",7;""Aug"",8;""sep"",9;""Oct"",10;""nov."",11;""Dec"",12},2,FALSE),
      INDEX(SPL"&amp;"IT(O24,"" ""),2)
    ),
    ""dd/mm/yyyy""
  ),
"""")"),"07/07/2026")</f>
        <v>07/07/2026</v>
      </c>
    </row>
    <row r="25">
      <c r="A25" s="85" t="s">
        <v>469</v>
      </c>
      <c r="B25" s="85" t="s">
        <v>470</v>
      </c>
      <c r="C25" s="90"/>
      <c r="D25" s="90"/>
      <c r="E25" s="87"/>
      <c r="F25" s="86" t="s">
        <v>103</v>
      </c>
      <c r="G25" s="86" t="s">
        <v>389</v>
      </c>
      <c r="H25" s="87"/>
      <c r="I25" s="87"/>
      <c r="J25" s="86" t="s">
        <v>389</v>
      </c>
      <c r="K25" s="86" t="s">
        <v>390</v>
      </c>
      <c r="L25" s="86" t="s">
        <v>391</v>
      </c>
      <c r="M25" s="86" t="s">
        <v>392</v>
      </c>
      <c r="N25" s="86" t="s">
        <v>471</v>
      </c>
      <c r="O25" s="88">
        <v>46199.592361111114</v>
      </c>
      <c r="P25" s="89" t="str">
        <f>IFERROR(__xludf.DUMMYFUNCTION("IFERROR(
  TEXT(
    DATE(
      INDEX(SPLIT(O25,"" ""),3),
      VLOOKUP(INDEX(SPLIT(O25,"" ""),1),{""jan."",1;""Feb"",2;""mar."",3;""Apr"",4;""May"",5;""jun."",6;""jul."",7;""Aug"",8;""sep"",9;""Oct"",10;""nov."",11;""Dec"",12},2,FALSE),
      INDEX(SPL"&amp;"IT(O25,"" ""),2)
    ),
    ""dd/mm/yyyy""
  ),
"""")"),"26/06/2026")</f>
        <v>26/06/2026</v>
      </c>
    </row>
    <row r="26">
      <c r="A26" s="85" t="s">
        <v>472</v>
      </c>
      <c r="B26" s="85" t="s">
        <v>473</v>
      </c>
      <c r="C26" s="90"/>
      <c r="D26" s="90"/>
      <c r="E26" s="87"/>
      <c r="F26" s="86" t="s">
        <v>86</v>
      </c>
      <c r="G26" s="86" t="s">
        <v>389</v>
      </c>
      <c r="H26" s="87"/>
      <c r="I26" s="87"/>
      <c r="J26" s="86" t="s">
        <v>389</v>
      </c>
      <c r="K26" s="86" t="s">
        <v>390</v>
      </c>
      <c r="L26" s="86" t="s">
        <v>391</v>
      </c>
      <c r="M26" s="86" t="s">
        <v>392</v>
      </c>
      <c r="N26" s="86" t="s">
        <v>474</v>
      </c>
      <c r="O26" s="86" t="s">
        <v>420</v>
      </c>
      <c r="P26" s="89" t="str">
        <f>IFERROR(__xludf.DUMMYFUNCTION("IFERROR(
  TEXT(
    DATE(
      INDEX(SPLIT(O26,"" ""),3),
      VLOOKUP(INDEX(SPLIT(O26,"" ""),1),{""jan."",1;""Feb"",2;""mar."",3;""Apr"",4;""May"",5;""jun."",6;""jul."",7;""Aug"",8;""sep"",9;""Oct"",10;""nov."",11;""Dec"",12},2,FALSE),
      INDEX(SPL"&amp;"IT(O26,"" ""),2)
    ),
    ""dd/mm/yyyy""
  ),
"""")"),"15/05/2026")</f>
        <v>15/05/2026</v>
      </c>
    </row>
    <row r="27">
      <c r="A27" s="85" t="s">
        <v>475</v>
      </c>
      <c r="B27" s="85" t="s">
        <v>476</v>
      </c>
      <c r="C27" s="90"/>
      <c r="D27" s="90"/>
      <c r="E27" s="87"/>
      <c r="F27" s="86" t="s">
        <v>86</v>
      </c>
      <c r="G27" s="86" t="s">
        <v>389</v>
      </c>
      <c r="H27" s="87"/>
      <c r="I27" s="87"/>
      <c r="J27" s="86" t="s">
        <v>389</v>
      </c>
      <c r="K27" s="86" t="s">
        <v>390</v>
      </c>
      <c r="L27" s="86" t="s">
        <v>391</v>
      </c>
      <c r="M27" s="86" t="s">
        <v>392</v>
      </c>
      <c r="N27" s="86" t="s">
        <v>477</v>
      </c>
      <c r="O27" s="86" t="s">
        <v>420</v>
      </c>
      <c r="P27" s="89" t="str">
        <f>IFERROR(__xludf.DUMMYFUNCTION("IFERROR(
  TEXT(
    DATE(
      INDEX(SPLIT(O27,"" ""),3),
      VLOOKUP(INDEX(SPLIT(O27,"" ""),1),{""jan."",1;""Feb"",2;""mar."",3;""Apr"",4;""May"",5;""jun."",6;""jul."",7;""Aug"",8;""sep"",9;""Oct"",10;""nov."",11;""Dec"",12},2,FALSE),
      INDEX(SPL"&amp;"IT(O27,"" ""),2)
    ),
    ""dd/mm/yyyy""
  ),
"""")"),"15/05/2026")</f>
        <v>15/05/2026</v>
      </c>
    </row>
    <row r="28">
      <c r="A28" s="85" t="s">
        <v>478</v>
      </c>
      <c r="B28" s="85" t="s">
        <v>479</v>
      </c>
      <c r="C28" s="90"/>
      <c r="D28" s="90"/>
      <c r="E28" s="87"/>
      <c r="F28" s="86" t="s">
        <v>131</v>
      </c>
      <c r="G28" s="86" t="s">
        <v>389</v>
      </c>
      <c r="H28" s="87"/>
      <c r="I28" s="87"/>
      <c r="J28" s="86" t="s">
        <v>389</v>
      </c>
      <c r="K28" s="86" t="s">
        <v>390</v>
      </c>
      <c r="L28" s="86" t="s">
        <v>391</v>
      </c>
      <c r="M28" s="86" t="s">
        <v>392</v>
      </c>
      <c r="N28" s="86" t="s">
        <v>480</v>
      </c>
      <c r="O28" s="88">
        <v>46195.669444444444</v>
      </c>
      <c r="P28" s="89" t="str">
        <f>IFERROR(__xludf.DUMMYFUNCTION("IFERROR(
  TEXT(
    DATE(
      INDEX(SPLIT(O28,"" ""),3),
      VLOOKUP(INDEX(SPLIT(O28,"" ""),1),{""jan."",1;""Feb"",2;""mar."",3;""Apr"",4;""May"",5;""jun."",6;""jul."",7;""Aug"",8;""sep"",9;""Oct"",10;""nov."",11;""Dec"",12},2,FALSE),
      INDEX(SPL"&amp;"IT(O28,"" ""),2)
    ),
    ""dd/mm/yyyy""
  ),
"""")"),"22/06/2026")</f>
        <v>22/06/2026</v>
      </c>
    </row>
    <row r="29">
      <c r="A29" s="85" t="s">
        <v>481</v>
      </c>
      <c r="B29" s="85" t="s">
        <v>482</v>
      </c>
      <c r="C29" s="90"/>
      <c r="D29" s="90"/>
      <c r="E29" s="87"/>
      <c r="F29" s="86" t="s">
        <v>103</v>
      </c>
      <c r="G29" s="86" t="s">
        <v>389</v>
      </c>
      <c r="H29" s="87"/>
      <c r="I29" s="87"/>
      <c r="J29" s="86" t="s">
        <v>389</v>
      </c>
      <c r="K29" s="86" t="s">
        <v>390</v>
      </c>
      <c r="L29" s="86" t="s">
        <v>391</v>
      </c>
      <c r="M29" s="86" t="s">
        <v>392</v>
      </c>
      <c r="N29" s="86" t="s">
        <v>483</v>
      </c>
      <c r="O29" s="88">
        <v>46177.46041666667</v>
      </c>
      <c r="P29" s="89" t="str">
        <f>IFERROR(__xludf.DUMMYFUNCTION("IFERROR(
  TEXT(
    DATE(
      INDEX(SPLIT(O29,"" ""),3),
      VLOOKUP(INDEX(SPLIT(O29,"" ""),1),{""jan."",1;""Feb"",2;""mar."",3;""Apr"",4;""May"",5;""jun."",6;""jul."",7;""Aug"",8;""sep"",9;""Oct"",10;""nov."",11;""Dec"",12},2,FALSE),
      INDEX(SPL"&amp;"IT(O29,"" ""),2)
    ),
    ""dd/mm/yyyy""
  ),
"""")"),"04/06/2026")</f>
        <v>04/06/2026</v>
      </c>
    </row>
    <row r="30">
      <c r="A30" s="85" t="s">
        <v>484</v>
      </c>
      <c r="B30" s="85" t="s">
        <v>485</v>
      </c>
      <c r="C30" s="90"/>
      <c r="D30" s="90"/>
      <c r="E30" s="87"/>
      <c r="F30" s="86" t="s">
        <v>103</v>
      </c>
      <c r="G30" s="86" t="s">
        <v>389</v>
      </c>
      <c r="H30" s="87"/>
      <c r="I30" s="87"/>
      <c r="J30" s="86" t="s">
        <v>389</v>
      </c>
      <c r="K30" s="86" t="s">
        <v>390</v>
      </c>
      <c r="L30" s="86" t="s">
        <v>391</v>
      </c>
      <c r="M30" s="86" t="s">
        <v>392</v>
      </c>
      <c r="N30" s="86" t="s">
        <v>486</v>
      </c>
      <c r="O30" s="86" t="s">
        <v>487</v>
      </c>
      <c r="P30" s="89" t="str">
        <f>IFERROR(__xludf.DUMMYFUNCTION("IFERROR(
  TEXT(
    DATE(
      INDEX(SPLIT(O30,"" ""),3),
      VLOOKUP(INDEX(SPLIT(O30,"" ""),1),{""jan."",1;""Feb"",2;""mar."",3;""Apr"",4;""May"",5;""jun."",6;""jul."",7;""Aug"",8;""sep"",9;""Oct"",10;""nov."",11;""Dec"",12},2,FALSE),
      INDEX(SPL"&amp;"IT(O30,"" ""),2)
    ),
    ""dd/mm/yyyy""
  ),
"""")"),"27/05/2026")</f>
        <v>27/05/2026</v>
      </c>
    </row>
    <row r="31">
      <c r="A31" s="85" t="s">
        <v>488</v>
      </c>
      <c r="B31" s="85" t="s">
        <v>489</v>
      </c>
      <c r="C31" s="90"/>
      <c r="D31" s="90"/>
      <c r="E31" s="87"/>
      <c r="F31" s="86" t="s">
        <v>86</v>
      </c>
      <c r="G31" s="86" t="s">
        <v>389</v>
      </c>
      <c r="H31" s="87"/>
      <c r="I31" s="87"/>
      <c r="J31" s="86" t="s">
        <v>389</v>
      </c>
      <c r="K31" s="86" t="s">
        <v>390</v>
      </c>
      <c r="L31" s="86" t="s">
        <v>391</v>
      </c>
      <c r="M31" s="86" t="s">
        <v>392</v>
      </c>
      <c r="N31" s="86" t="s">
        <v>490</v>
      </c>
      <c r="O31" s="86" t="s">
        <v>491</v>
      </c>
      <c r="P31" s="89" t="str">
        <f>IFERROR(__xludf.DUMMYFUNCTION("IFERROR(
  TEXT(
    DATE(
      INDEX(SPLIT(O31,"" ""),3),
      VLOOKUP(INDEX(SPLIT(O31,"" ""),1),{""jan."",1;""Feb"",2;""mar."",3;""Apr"",4;""May"",5;""jun."",6;""jul."",7;""Aug"",8;""sep"",9;""Oct"",10;""nov."",11;""Dec"",12},2,FALSE),
      INDEX(SPL"&amp;"IT(O31,"" ""),2)
    ),
    ""dd/mm/yyyy""
  ),
"""")"),"19/05/2026")</f>
        <v>19/05/2026</v>
      </c>
    </row>
    <row r="32">
      <c r="A32" s="85" t="s">
        <v>492</v>
      </c>
      <c r="B32" s="85" t="s">
        <v>493</v>
      </c>
      <c r="C32" s="90"/>
      <c r="D32" s="90"/>
      <c r="E32" s="87"/>
      <c r="F32" s="86" t="s">
        <v>103</v>
      </c>
      <c r="G32" s="86" t="s">
        <v>389</v>
      </c>
      <c r="H32" s="87"/>
      <c r="I32" s="87"/>
      <c r="J32" s="86" t="s">
        <v>389</v>
      </c>
      <c r="K32" s="86" t="s">
        <v>390</v>
      </c>
      <c r="L32" s="86" t="s">
        <v>391</v>
      </c>
      <c r="M32" s="86" t="s">
        <v>392</v>
      </c>
      <c r="N32" s="86" t="s">
        <v>494</v>
      </c>
      <c r="O32" s="88">
        <v>46190.816666666666</v>
      </c>
      <c r="P32" s="89" t="str">
        <f>IFERROR(__xludf.DUMMYFUNCTION("IFERROR(
  TEXT(
    DATE(
      INDEX(SPLIT(O32,"" ""),3),
      VLOOKUP(INDEX(SPLIT(O32,"" ""),1),{""jan."",1;""Feb"",2;""mar."",3;""Apr"",4;""May"",5;""jun."",6;""jul."",7;""Aug"",8;""sep"",9;""Oct"",10;""nov."",11;""Dec"",12},2,FALSE),
      INDEX(SPL"&amp;"IT(O32,"" ""),2)
    ),
    ""dd/mm/yyyy""
  ),
"""")"),"17/06/2026")</f>
        <v>17/06/2026</v>
      </c>
    </row>
    <row r="33">
      <c r="A33" s="85" t="s">
        <v>495</v>
      </c>
      <c r="B33" s="85" t="s">
        <v>496</v>
      </c>
      <c r="C33" s="90"/>
      <c r="D33" s="90"/>
      <c r="E33" s="87"/>
      <c r="F33" s="86" t="s">
        <v>86</v>
      </c>
      <c r="G33" s="86" t="s">
        <v>389</v>
      </c>
      <c r="H33" s="87"/>
      <c r="I33" s="87"/>
      <c r="J33" s="86" t="s">
        <v>389</v>
      </c>
      <c r="K33" s="86" t="s">
        <v>390</v>
      </c>
      <c r="L33" s="86" t="s">
        <v>391</v>
      </c>
      <c r="M33" s="86" t="s">
        <v>392</v>
      </c>
      <c r="N33" s="86" t="s">
        <v>497</v>
      </c>
      <c r="O33" s="86" t="s">
        <v>498</v>
      </c>
      <c r="P33" s="89" t="str">
        <f>IFERROR(__xludf.DUMMYFUNCTION("IFERROR(
  TEXT(
    DATE(
      INDEX(SPLIT(O33,"" ""),3),
      VLOOKUP(INDEX(SPLIT(O33,"" ""),1),{""jan."",1;""Feb"",2;""mar."",3;""Apr"",4;""May"",5;""jun."",6;""jul."",7;""Aug"",8;""sep"",9;""Oct"",10;""nov."",11;""Dec"",12},2,FALSE),
      INDEX(SPL"&amp;"IT(O33,"" ""),2)
    ),
    ""dd/mm/yyyy""
  ),
"""")"),"20/05/2026")</f>
        <v>20/05/2026</v>
      </c>
    </row>
    <row r="34">
      <c r="A34" s="85" t="s">
        <v>499</v>
      </c>
      <c r="B34" s="85" t="s">
        <v>500</v>
      </c>
      <c r="C34" s="90"/>
      <c r="D34" s="90"/>
      <c r="E34" s="87"/>
      <c r="F34" s="86" t="s">
        <v>94</v>
      </c>
      <c r="G34" s="86" t="s">
        <v>389</v>
      </c>
      <c r="H34" s="87"/>
      <c r="I34" s="87"/>
      <c r="J34" s="86" t="s">
        <v>389</v>
      </c>
      <c r="K34" s="86" t="s">
        <v>390</v>
      </c>
      <c r="L34" s="86" t="s">
        <v>391</v>
      </c>
      <c r="M34" s="86" t="s">
        <v>392</v>
      </c>
      <c r="N34" s="86" t="s">
        <v>501</v>
      </c>
      <c r="O34" s="88">
        <v>46182.60208333333</v>
      </c>
      <c r="P34" s="89" t="str">
        <f>IFERROR(__xludf.DUMMYFUNCTION("IFERROR(
  TEXT(
    DATE(
      INDEX(SPLIT(O34,"" ""),3),
      VLOOKUP(INDEX(SPLIT(O34,"" ""),1),{""jan."",1;""Feb"",2;""mar."",3;""Apr"",4;""May"",5;""jun."",6;""jul."",7;""Aug"",8;""sep"",9;""Oct"",10;""nov."",11;""Dec"",12},2,FALSE),
      INDEX(SPL"&amp;"IT(O34,"" ""),2)
    ),
    ""dd/mm/yyyy""
  ),
"""")"),"09/06/2026")</f>
        <v>09/06/2026</v>
      </c>
    </row>
    <row r="35">
      <c r="A35" s="85" t="s">
        <v>502</v>
      </c>
      <c r="B35" s="85" t="s">
        <v>503</v>
      </c>
      <c r="C35" s="90"/>
      <c r="D35" s="90"/>
      <c r="E35" s="87"/>
      <c r="F35" s="86" t="s">
        <v>94</v>
      </c>
      <c r="G35" s="86" t="s">
        <v>389</v>
      </c>
      <c r="H35" s="87"/>
      <c r="I35" s="87"/>
      <c r="J35" s="86" t="s">
        <v>389</v>
      </c>
      <c r="K35" s="86" t="s">
        <v>390</v>
      </c>
      <c r="L35" s="86" t="s">
        <v>391</v>
      </c>
      <c r="M35" s="86" t="s">
        <v>392</v>
      </c>
      <c r="N35" s="86" t="s">
        <v>504</v>
      </c>
      <c r="O35" s="88">
        <v>46197.63888888889</v>
      </c>
      <c r="P35" s="89" t="str">
        <f>IFERROR(__xludf.DUMMYFUNCTION("IFERROR(
  TEXT(
    DATE(
      INDEX(SPLIT(O35,"" ""),3),
      VLOOKUP(INDEX(SPLIT(O35,"" ""),1),{""jan."",1;""Feb"",2;""mar."",3;""Apr"",4;""May"",5;""jun."",6;""jul."",7;""Aug"",8;""sep"",9;""Oct"",10;""nov."",11;""Dec"",12},2,FALSE),
      INDEX(SPL"&amp;"IT(O35,"" ""),2)
    ),
    ""dd/mm/yyyy""
  ),
"""")"),"24/06/2026")</f>
        <v>24/06/2026</v>
      </c>
    </row>
    <row r="36">
      <c r="A36" s="85" t="s">
        <v>505</v>
      </c>
      <c r="B36" s="85" t="s">
        <v>506</v>
      </c>
      <c r="C36" s="86" t="s">
        <v>387</v>
      </c>
      <c r="D36" s="86" t="s">
        <v>388</v>
      </c>
      <c r="E36" s="87"/>
      <c r="F36" s="86" t="s">
        <v>71</v>
      </c>
      <c r="G36" s="86" t="s">
        <v>389</v>
      </c>
      <c r="H36" s="87"/>
      <c r="I36" s="87"/>
      <c r="J36" s="86" t="s">
        <v>389</v>
      </c>
      <c r="K36" s="86" t="s">
        <v>390</v>
      </c>
      <c r="L36" s="86" t="s">
        <v>391</v>
      </c>
      <c r="M36" s="86" t="s">
        <v>392</v>
      </c>
      <c r="N36" s="86" t="s">
        <v>507</v>
      </c>
      <c r="O36" s="88">
        <v>46184.444444444445</v>
      </c>
      <c r="P36" s="89" t="str">
        <f>IFERROR(__xludf.DUMMYFUNCTION("IFERROR(
  TEXT(
    DATE(
      INDEX(SPLIT(O36,"" ""),3),
      VLOOKUP(INDEX(SPLIT(O36,"" ""),1),{""jan."",1;""Feb"",2;""mar."",3;""Apr"",4;""May"",5;""jun."",6;""jul."",7;""Aug"",8;""sep"",9;""Oct"",10;""nov."",11;""Dec"",12},2,FALSE),
      INDEX(SPL"&amp;"IT(O36,"" ""),2)
    ),
    ""dd/mm/yyyy""
  ),
"""")"),"11/06/2026")</f>
        <v>11/06/2026</v>
      </c>
    </row>
    <row r="37">
      <c r="A37" s="85" t="s">
        <v>508</v>
      </c>
      <c r="B37" s="85" t="s">
        <v>509</v>
      </c>
      <c r="C37" s="86" t="s">
        <v>387</v>
      </c>
      <c r="D37" s="86" t="s">
        <v>388</v>
      </c>
      <c r="E37" s="87"/>
      <c r="F37" s="86" t="s">
        <v>284</v>
      </c>
      <c r="G37" s="86" t="s">
        <v>389</v>
      </c>
      <c r="H37" s="87"/>
      <c r="I37" s="87"/>
      <c r="J37" s="86" t="s">
        <v>389</v>
      </c>
      <c r="K37" s="86" t="s">
        <v>390</v>
      </c>
      <c r="L37" s="86" t="s">
        <v>391</v>
      </c>
      <c r="M37" s="86" t="s">
        <v>392</v>
      </c>
      <c r="N37" s="86" t="s">
        <v>510</v>
      </c>
      <c r="O37" s="88">
        <v>46197.407638888886</v>
      </c>
      <c r="P37" s="89" t="str">
        <f>IFERROR(__xludf.DUMMYFUNCTION("IFERROR(
  TEXT(
    DATE(
      INDEX(SPLIT(O37,"" ""),3),
      VLOOKUP(INDEX(SPLIT(O37,"" ""),1),{""jan."",1;""Feb"",2;""mar."",3;""Apr"",4;""May"",5;""jun."",6;""jul."",7;""Aug"",8;""sep"",9;""Oct"",10;""nov."",11;""Dec"",12},2,FALSE),
      INDEX(SPL"&amp;"IT(O37,"" ""),2)
    ),
    ""dd/mm/yyyy""
  ),
"""")"),"24/06/2026")</f>
        <v>24/06/2026</v>
      </c>
    </row>
    <row r="38">
      <c r="A38" s="85" t="s">
        <v>511</v>
      </c>
      <c r="B38" s="85" t="s">
        <v>512</v>
      </c>
      <c r="C38" s="86" t="s">
        <v>387</v>
      </c>
      <c r="D38" s="86" t="s">
        <v>388</v>
      </c>
      <c r="E38" s="87"/>
      <c r="F38" s="86" t="s">
        <v>86</v>
      </c>
      <c r="G38" s="86" t="s">
        <v>389</v>
      </c>
      <c r="H38" s="87"/>
      <c r="I38" s="87"/>
      <c r="J38" s="86" t="s">
        <v>389</v>
      </c>
      <c r="K38" s="86" t="s">
        <v>390</v>
      </c>
      <c r="L38" s="86" t="s">
        <v>391</v>
      </c>
      <c r="M38" s="86" t="s">
        <v>392</v>
      </c>
      <c r="N38" s="86" t="s">
        <v>513</v>
      </c>
      <c r="O38" s="86" t="s">
        <v>514</v>
      </c>
      <c r="P38" s="89" t="str">
        <f>IFERROR(__xludf.DUMMYFUNCTION("IFERROR(
  TEXT(
    DATE(
      INDEX(SPLIT(O38,"" ""),3),
      VLOOKUP(INDEX(SPLIT(O38,"" ""),1),{""jan."",1;""Feb"",2;""mar."",3;""Apr"",4;""May"",5;""jun."",6;""jul."",7;""Aug"",8;""sep"",9;""Oct"",10;""nov."",11;""Dec"",12},2,FALSE),
      INDEX(SPL"&amp;"IT(O38,"" ""),2)
    ),
    ""dd/mm/yyyy""
  ),
"""")"),"18/05/2026")</f>
        <v>18/05/2026</v>
      </c>
    </row>
    <row r="39">
      <c r="A39" s="85" t="s">
        <v>515</v>
      </c>
      <c r="B39" s="85" t="s">
        <v>516</v>
      </c>
      <c r="C39" s="86" t="s">
        <v>387</v>
      </c>
      <c r="D39" s="86" t="s">
        <v>388</v>
      </c>
      <c r="E39" s="87"/>
      <c r="F39" s="86" t="s">
        <v>103</v>
      </c>
      <c r="G39" s="86" t="s">
        <v>389</v>
      </c>
      <c r="H39" s="87"/>
      <c r="I39" s="87"/>
      <c r="J39" s="86" t="s">
        <v>389</v>
      </c>
      <c r="K39" s="86" t="s">
        <v>390</v>
      </c>
      <c r="L39" s="86" t="s">
        <v>391</v>
      </c>
      <c r="M39" s="86" t="s">
        <v>392</v>
      </c>
      <c r="N39" s="86" t="s">
        <v>517</v>
      </c>
      <c r="O39" s="86" t="s">
        <v>518</v>
      </c>
      <c r="P39" s="89" t="str">
        <f>IFERROR(__xludf.DUMMYFUNCTION("IFERROR(
  TEXT(
    DATE(
      INDEX(SPLIT(O39,"" ""),3),
      VLOOKUP(INDEX(SPLIT(O39,"" ""),1),{""jan."",1;""Feb"",2;""mar."",3;""Apr"",4;""May"",5;""jun."",6;""jul."",7;""Aug"",8;""sep"",9;""Oct"",10;""nov."",11;""Dec"",12},2,FALSE),
      INDEX(SPL"&amp;"IT(O39,"" ""),2)
    ),
    ""dd/mm/yyyy""
  ),
"""")"),"20/05/2026")</f>
        <v>20/05/2026</v>
      </c>
    </row>
    <row r="40">
      <c r="A40" s="85" t="s">
        <v>519</v>
      </c>
      <c r="B40" s="85" t="s">
        <v>520</v>
      </c>
      <c r="C40" s="90"/>
      <c r="D40" s="90"/>
      <c r="E40" s="87"/>
      <c r="F40" s="86" t="s">
        <v>71</v>
      </c>
      <c r="G40" s="86" t="s">
        <v>389</v>
      </c>
      <c r="H40" s="87"/>
      <c r="I40" s="87"/>
      <c r="J40" s="86" t="s">
        <v>389</v>
      </c>
      <c r="K40" s="86" t="s">
        <v>390</v>
      </c>
      <c r="L40" s="86" t="s">
        <v>391</v>
      </c>
      <c r="M40" s="86" t="s">
        <v>392</v>
      </c>
      <c r="N40" s="86" t="s">
        <v>521</v>
      </c>
      <c r="O40" s="88">
        <v>46195.705555555556</v>
      </c>
      <c r="P40" s="89" t="str">
        <f>IFERROR(__xludf.DUMMYFUNCTION("IFERROR(
  TEXT(
    DATE(
      INDEX(SPLIT(O40,"" ""),3),
      VLOOKUP(INDEX(SPLIT(O40,"" ""),1),{""jan."",1;""Feb"",2;""mar."",3;""Apr"",4;""May"",5;""jun."",6;""jul."",7;""Aug"",8;""sep"",9;""Oct"",10;""nov."",11;""Dec"",12},2,FALSE),
      INDEX(SPL"&amp;"IT(O40,"" ""),2)
    ),
    ""dd/mm/yyyy""
  ),
"""")"),"22/06/2026")</f>
        <v>22/06/2026</v>
      </c>
    </row>
    <row r="41">
      <c r="A41" s="85" t="s">
        <v>522</v>
      </c>
      <c r="B41" s="85" t="s">
        <v>523</v>
      </c>
      <c r="C41" s="90"/>
      <c r="D41" s="90"/>
      <c r="E41" s="87"/>
      <c r="F41" s="86" t="s">
        <v>71</v>
      </c>
      <c r="G41" s="86" t="s">
        <v>389</v>
      </c>
      <c r="H41" s="87"/>
      <c r="I41" s="87"/>
      <c r="J41" s="86" t="s">
        <v>389</v>
      </c>
      <c r="K41" s="86" t="s">
        <v>390</v>
      </c>
      <c r="L41" s="86" t="s">
        <v>391</v>
      </c>
      <c r="M41" s="86" t="s">
        <v>392</v>
      </c>
      <c r="N41" s="86" t="s">
        <v>524</v>
      </c>
      <c r="O41" s="88">
        <v>46197.40694444445</v>
      </c>
      <c r="P41" s="89" t="str">
        <f>IFERROR(__xludf.DUMMYFUNCTION("IFERROR(
  TEXT(
    DATE(
      INDEX(SPLIT(O41,"" ""),3),
      VLOOKUP(INDEX(SPLIT(O41,"" ""),1),{""jan."",1;""Feb"",2;""mar."",3;""Apr"",4;""May"",5;""jun."",6;""jul."",7;""Aug"",8;""sep"",9;""Oct"",10;""nov."",11;""Dec"",12},2,FALSE),
      INDEX(SPL"&amp;"IT(O41,"" ""),2)
    ),
    ""dd/mm/yyyy""
  ),
"""")"),"24/06/2026")</f>
        <v>24/06/2026</v>
      </c>
    </row>
    <row r="42">
      <c r="A42" s="85" t="s">
        <v>525</v>
      </c>
      <c r="B42" s="85" t="s">
        <v>526</v>
      </c>
      <c r="C42" s="90"/>
      <c r="D42" s="90"/>
      <c r="E42" s="87"/>
      <c r="F42" s="86" t="s">
        <v>86</v>
      </c>
      <c r="G42" s="86" t="s">
        <v>389</v>
      </c>
      <c r="H42" s="87"/>
      <c r="I42" s="87"/>
      <c r="J42" s="86" t="s">
        <v>389</v>
      </c>
      <c r="K42" s="86" t="s">
        <v>390</v>
      </c>
      <c r="L42" s="86" t="s">
        <v>391</v>
      </c>
      <c r="M42" s="86" t="s">
        <v>392</v>
      </c>
      <c r="N42" s="86" t="s">
        <v>527</v>
      </c>
      <c r="O42" s="86" t="s">
        <v>528</v>
      </c>
      <c r="P42" s="89" t="str">
        <f>IFERROR(__xludf.DUMMYFUNCTION("IFERROR(
  TEXT(
    DATE(
      INDEX(SPLIT(O42,"" ""),3),
      VLOOKUP(INDEX(SPLIT(O42,"" ""),1),{""jan."",1;""Feb"",2;""mar."",3;""Apr"",4;""May"",5;""jun."",6;""jul."",7;""Aug"",8;""sep"",9;""Oct"",10;""nov."",11;""Dec"",12},2,FALSE),
      INDEX(SPL"&amp;"IT(O42,"" ""),2)
    ),
    ""dd/mm/yyyy""
  ),
"""")"),"18/05/2026")</f>
        <v>18/05/2026</v>
      </c>
    </row>
    <row r="43">
      <c r="A43" s="85" t="s">
        <v>529</v>
      </c>
      <c r="B43" s="85" t="s">
        <v>530</v>
      </c>
      <c r="C43" s="90"/>
      <c r="D43" s="90"/>
      <c r="E43" s="87"/>
      <c r="F43" s="86" t="s">
        <v>94</v>
      </c>
      <c r="G43" s="86" t="s">
        <v>389</v>
      </c>
      <c r="H43" s="87"/>
      <c r="I43" s="87"/>
      <c r="J43" s="86" t="s">
        <v>389</v>
      </c>
      <c r="K43" s="86" t="s">
        <v>390</v>
      </c>
      <c r="L43" s="86" t="s">
        <v>391</v>
      </c>
      <c r="M43" s="86" t="s">
        <v>392</v>
      </c>
      <c r="N43" s="86" t="s">
        <v>531</v>
      </c>
      <c r="O43" s="88">
        <v>46195.705555555556</v>
      </c>
      <c r="P43" s="89" t="str">
        <f>IFERROR(__xludf.DUMMYFUNCTION("IFERROR(
  TEXT(
    DATE(
      INDEX(SPLIT(O43,"" ""),3),
      VLOOKUP(INDEX(SPLIT(O43,"" ""),1),{""jan."",1;""Feb"",2;""mar."",3;""Apr"",4;""May"",5;""jun."",6;""jul."",7;""Aug"",8;""sep"",9;""Oct"",10;""nov."",11;""Dec"",12},2,FALSE),
      INDEX(SPL"&amp;"IT(O43,"" ""),2)
    ),
    ""dd/mm/yyyy""
  ),
"""")"),"22/06/2026")</f>
        <v>22/06/2026</v>
      </c>
    </row>
    <row r="44">
      <c r="A44" s="85" t="s">
        <v>532</v>
      </c>
      <c r="B44" s="85" t="s">
        <v>533</v>
      </c>
      <c r="C44" s="86" t="s">
        <v>387</v>
      </c>
      <c r="D44" s="86" t="s">
        <v>388</v>
      </c>
      <c r="E44" s="87"/>
      <c r="F44" s="86" t="s">
        <v>131</v>
      </c>
      <c r="G44" s="86" t="s">
        <v>389</v>
      </c>
      <c r="H44" s="87"/>
      <c r="I44" s="87"/>
      <c r="J44" s="86" t="s">
        <v>389</v>
      </c>
      <c r="K44" s="86" t="s">
        <v>390</v>
      </c>
      <c r="L44" s="86" t="s">
        <v>391</v>
      </c>
      <c r="M44" s="86" t="s">
        <v>392</v>
      </c>
      <c r="N44" s="86" t="s">
        <v>534</v>
      </c>
      <c r="O44" s="88">
        <v>46209.69236111111</v>
      </c>
      <c r="P44" s="89" t="str">
        <f>IFERROR(__xludf.DUMMYFUNCTION("IFERROR(
  TEXT(
    DATE(
      INDEX(SPLIT(O44,"" ""),3),
      VLOOKUP(INDEX(SPLIT(O44,"" ""),1),{""jan."",1;""Feb"",2;""mar."",3;""Apr"",4;""May"",5;""jun."",6;""jul."",7;""Aug"",8;""sep"",9;""Oct"",10;""nov."",11;""Dec"",12},2,FALSE),
      INDEX(SPL"&amp;"IT(O44,"" ""),2)
    ),
    ""dd/mm/yyyy""
  ),
"""")"),"06/07/2026")</f>
        <v>06/07/2026</v>
      </c>
    </row>
    <row r="45">
      <c r="A45" s="85" t="s">
        <v>535</v>
      </c>
      <c r="B45" s="85" t="s">
        <v>536</v>
      </c>
      <c r="C45" s="86" t="s">
        <v>387</v>
      </c>
      <c r="D45" s="86" t="s">
        <v>388</v>
      </c>
      <c r="E45" s="87"/>
      <c r="F45" s="86" t="s">
        <v>86</v>
      </c>
      <c r="G45" s="86" t="s">
        <v>389</v>
      </c>
      <c r="H45" s="87"/>
      <c r="I45" s="87"/>
      <c r="J45" s="86" t="s">
        <v>389</v>
      </c>
      <c r="K45" s="86" t="s">
        <v>390</v>
      </c>
      <c r="L45" s="86" t="s">
        <v>391</v>
      </c>
      <c r="M45" s="86" t="s">
        <v>392</v>
      </c>
      <c r="N45" s="86" t="s">
        <v>537</v>
      </c>
      <c r="O45" s="86" t="s">
        <v>538</v>
      </c>
      <c r="P45" s="89" t="str">
        <f>IFERROR(__xludf.DUMMYFUNCTION("IFERROR(
  TEXT(
    DATE(
      INDEX(SPLIT(O45,"" ""),3),
      VLOOKUP(INDEX(SPLIT(O45,"" ""),1),{""jan."",1;""Feb"",2;""mar."",3;""Apr"",4;""May"",5;""jun."",6;""jul."",7;""Aug"",8;""sep"",9;""Oct"",10;""nov."",11;""Dec"",12},2,FALSE),
      INDEX(SPL"&amp;"IT(O45,"" ""),2)
    ),
    ""dd/mm/yyyy""
  ),
"""")"),"19/05/2026")</f>
        <v>19/05/2026</v>
      </c>
    </row>
    <row r="46">
      <c r="A46" s="85" t="s">
        <v>539</v>
      </c>
      <c r="B46" s="85" t="s">
        <v>540</v>
      </c>
      <c r="C46" s="86" t="s">
        <v>387</v>
      </c>
      <c r="D46" s="86" t="s">
        <v>388</v>
      </c>
      <c r="E46" s="87"/>
      <c r="F46" s="86" t="s">
        <v>86</v>
      </c>
      <c r="G46" s="86" t="s">
        <v>389</v>
      </c>
      <c r="H46" s="87"/>
      <c r="I46" s="87"/>
      <c r="J46" s="86" t="s">
        <v>389</v>
      </c>
      <c r="K46" s="86" t="s">
        <v>390</v>
      </c>
      <c r="L46" s="86" t="s">
        <v>391</v>
      </c>
      <c r="M46" s="86" t="s">
        <v>392</v>
      </c>
      <c r="N46" s="86" t="s">
        <v>541</v>
      </c>
      <c r="O46" s="86" t="s">
        <v>538</v>
      </c>
      <c r="P46" s="89" t="str">
        <f>IFERROR(__xludf.DUMMYFUNCTION("IFERROR(
  TEXT(
    DATE(
      INDEX(SPLIT(O46,"" ""),3),
      VLOOKUP(INDEX(SPLIT(O46,"" ""),1),{""jan."",1;""Feb"",2;""mar."",3;""Apr"",4;""May"",5;""jun."",6;""jul."",7;""Aug"",8;""sep"",9;""Oct"",10;""nov."",11;""Dec"",12},2,FALSE),
      INDEX(SPL"&amp;"IT(O46,"" ""),2)
    ),
    ""dd/mm/yyyy""
  ),
"""")"),"19/05/2026")</f>
        <v>19/05/2026</v>
      </c>
    </row>
    <row r="47">
      <c r="A47" s="85" t="s">
        <v>542</v>
      </c>
      <c r="B47" s="85" t="s">
        <v>543</v>
      </c>
      <c r="C47" s="86" t="s">
        <v>387</v>
      </c>
      <c r="D47" s="86" t="s">
        <v>388</v>
      </c>
      <c r="E47" s="87"/>
      <c r="F47" s="86" t="s">
        <v>94</v>
      </c>
      <c r="G47" s="86" t="s">
        <v>389</v>
      </c>
      <c r="H47" s="87"/>
      <c r="I47" s="87"/>
      <c r="J47" s="86" t="s">
        <v>389</v>
      </c>
      <c r="K47" s="86" t="s">
        <v>390</v>
      </c>
      <c r="L47" s="86" t="s">
        <v>391</v>
      </c>
      <c r="M47" s="86" t="s">
        <v>392</v>
      </c>
      <c r="N47" s="86" t="s">
        <v>544</v>
      </c>
      <c r="O47" s="88">
        <v>46204.697916666664</v>
      </c>
      <c r="P47" s="89" t="str">
        <f>IFERROR(__xludf.DUMMYFUNCTION("IFERROR(
  TEXT(
    DATE(
      INDEX(SPLIT(O47,"" ""),3),
      VLOOKUP(INDEX(SPLIT(O47,"" ""),1),{""jan."",1;""Feb"",2;""mar."",3;""Apr"",4;""May"",5;""jun."",6;""jul."",7;""Aug"",8;""sep"",9;""Oct"",10;""nov."",11;""Dec"",12},2,FALSE),
      INDEX(SPL"&amp;"IT(O47,"" ""),2)
    ),
    ""dd/mm/yyyy""
  ),
"""")"),"01/07/2026")</f>
        <v>01/07/2026</v>
      </c>
    </row>
    <row r="48">
      <c r="A48" s="85" t="s">
        <v>545</v>
      </c>
      <c r="B48" s="85" t="s">
        <v>546</v>
      </c>
      <c r="C48" s="86" t="s">
        <v>387</v>
      </c>
      <c r="D48" s="86" t="s">
        <v>388</v>
      </c>
      <c r="E48" s="87"/>
      <c r="F48" s="86" t="s">
        <v>103</v>
      </c>
      <c r="G48" s="86" t="s">
        <v>389</v>
      </c>
      <c r="H48" s="87"/>
      <c r="I48" s="87"/>
      <c r="J48" s="86" t="s">
        <v>389</v>
      </c>
      <c r="K48" s="86" t="s">
        <v>390</v>
      </c>
      <c r="L48" s="86" t="s">
        <v>391</v>
      </c>
      <c r="M48" s="86" t="s">
        <v>392</v>
      </c>
      <c r="N48" s="86" t="s">
        <v>547</v>
      </c>
      <c r="O48" s="88">
        <v>46188.39375</v>
      </c>
      <c r="P48" s="89" t="str">
        <f>IFERROR(__xludf.DUMMYFUNCTION("IFERROR(
  TEXT(
    DATE(
      INDEX(SPLIT(O48,"" ""),3),
      VLOOKUP(INDEX(SPLIT(O48,"" ""),1),{""jan."",1;""Feb"",2;""mar."",3;""Apr"",4;""May"",5;""jun."",6;""jul."",7;""Aug"",8;""sep"",9;""Oct"",10;""nov."",11;""Dec"",12},2,FALSE),
      INDEX(SPL"&amp;"IT(O48,"" ""),2)
    ),
    ""dd/mm/yyyy""
  ),
"""")"),"15/06/2026")</f>
        <v>15/06/2026</v>
      </c>
    </row>
    <row r="49">
      <c r="A49" s="85" t="s">
        <v>548</v>
      </c>
      <c r="B49" s="85" t="s">
        <v>549</v>
      </c>
      <c r="C49" s="90"/>
      <c r="D49" s="90"/>
      <c r="E49" s="87"/>
      <c r="F49" s="86" t="s">
        <v>131</v>
      </c>
      <c r="G49" s="86" t="s">
        <v>389</v>
      </c>
      <c r="H49" s="87"/>
      <c r="I49" s="87"/>
      <c r="J49" s="86" t="s">
        <v>389</v>
      </c>
      <c r="K49" s="86" t="s">
        <v>390</v>
      </c>
      <c r="L49" s="86" t="s">
        <v>391</v>
      </c>
      <c r="M49" s="86" t="s">
        <v>392</v>
      </c>
      <c r="N49" s="86" t="s">
        <v>550</v>
      </c>
      <c r="O49" s="88">
        <v>46209.67222222222</v>
      </c>
      <c r="P49" s="89" t="str">
        <f>IFERROR(__xludf.DUMMYFUNCTION("IFERROR(
  TEXT(
    DATE(
      INDEX(SPLIT(O49,"" ""),3),
      VLOOKUP(INDEX(SPLIT(O49,"" ""),1),{""jan."",1;""Feb"",2;""mar."",3;""Apr"",4;""May"",5;""jun."",6;""jul."",7;""Aug"",8;""sep"",9;""Oct"",10;""nov."",11;""Dec"",12},2,FALSE),
      INDEX(SPL"&amp;"IT(O49,"" ""),2)
    ),
    ""dd/mm/yyyy""
  ),
"""")"),"06/07/2026")</f>
        <v>06/07/2026</v>
      </c>
    </row>
    <row r="50">
      <c r="A50" s="85" t="s">
        <v>551</v>
      </c>
      <c r="B50" s="85" t="s">
        <v>552</v>
      </c>
      <c r="C50" s="90"/>
      <c r="D50" s="90"/>
      <c r="E50" s="87"/>
      <c r="F50" s="86" t="s">
        <v>86</v>
      </c>
      <c r="G50" s="86" t="s">
        <v>389</v>
      </c>
      <c r="H50" s="87"/>
      <c r="I50" s="87"/>
      <c r="J50" s="86" t="s">
        <v>389</v>
      </c>
      <c r="K50" s="86" t="s">
        <v>390</v>
      </c>
      <c r="L50" s="86" t="s">
        <v>391</v>
      </c>
      <c r="M50" s="86" t="s">
        <v>392</v>
      </c>
      <c r="N50" s="86" t="s">
        <v>553</v>
      </c>
      <c r="O50" s="86" t="s">
        <v>554</v>
      </c>
      <c r="P50" s="89" t="str">
        <f>IFERROR(__xludf.DUMMYFUNCTION("IFERROR(
  TEXT(
    DATE(
      INDEX(SPLIT(O50,"" ""),3),
      VLOOKUP(INDEX(SPLIT(O50,"" ""),1),{""jan."",1;""Feb"",2;""mar."",3;""Apr"",4;""May"",5;""jun."",6;""jul."",7;""Aug"",8;""sep"",9;""Oct"",10;""nov."",11;""Dec"",12},2,FALSE),
      INDEX(SPL"&amp;"IT(O50,"" ""),2)
    ),
    ""dd/mm/yyyy""
  ),
"""")"),"15/05/2026")</f>
        <v>15/05/2026</v>
      </c>
    </row>
    <row r="51">
      <c r="A51" s="85" t="s">
        <v>555</v>
      </c>
      <c r="B51" s="85" t="s">
        <v>556</v>
      </c>
      <c r="C51" s="90"/>
      <c r="D51" s="90"/>
      <c r="E51" s="87"/>
      <c r="F51" s="86" t="s">
        <v>86</v>
      </c>
      <c r="G51" s="86" t="s">
        <v>389</v>
      </c>
      <c r="H51" s="87"/>
      <c r="I51" s="87"/>
      <c r="J51" s="86" t="s">
        <v>389</v>
      </c>
      <c r="K51" s="86" t="s">
        <v>390</v>
      </c>
      <c r="L51" s="86" t="s">
        <v>391</v>
      </c>
      <c r="M51" s="86" t="s">
        <v>392</v>
      </c>
      <c r="N51" s="86" t="s">
        <v>557</v>
      </c>
      <c r="O51" s="86" t="s">
        <v>554</v>
      </c>
      <c r="P51" s="89" t="str">
        <f>IFERROR(__xludf.DUMMYFUNCTION("IFERROR(
  TEXT(
    DATE(
      INDEX(SPLIT(O51,"" ""),3),
      VLOOKUP(INDEX(SPLIT(O51,"" ""),1),{""jan."",1;""Feb"",2;""mar."",3;""Apr"",4;""May"",5;""jun."",6;""jul."",7;""Aug"",8;""sep"",9;""Oct"",10;""nov."",11;""Dec"",12},2,FALSE),
      INDEX(SPL"&amp;"IT(O51,"" ""),2)
    ),
    ""dd/mm/yyyy""
  ),
"""")"),"15/05/2026")</f>
        <v>15/05/2026</v>
      </c>
    </row>
    <row r="52">
      <c r="A52" s="85" t="s">
        <v>558</v>
      </c>
      <c r="B52" s="85" t="s">
        <v>559</v>
      </c>
      <c r="C52" s="90"/>
      <c r="D52" s="90"/>
      <c r="E52" s="87"/>
      <c r="F52" s="86" t="s">
        <v>94</v>
      </c>
      <c r="G52" s="86" t="s">
        <v>389</v>
      </c>
      <c r="H52" s="87"/>
      <c r="I52" s="87"/>
      <c r="J52" s="86" t="s">
        <v>389</v>
      </c>
      <c r="K52" s="86" t="s">
        <v>390</v>
      </c>
      <c r="L52" s="86" t="s">
        <v>391</v>
      </c>
      <c r="M52" s="86" t="s">
        <v>392</v>
      </c>
      <c r="N52" s="86" t="s">
        <v>560</v>
      </c>
      <c r="O52" s="88">
        <v>46204.69097222222</v>
      </c>
      <c r="P52" s="89" t="str">
        <f>IFERROR(__xludf.DUMMYFUNCTION("IFERROR(
  TEXT(
    DATE(
      INDEX(SPLIT(O52,"" ""),3),
      VLOOKUP(INDEX(SPLIT(O52,"" ""),1),{""jan."",1;""Feb"",2;""mar."",3;""Apr"",4;""May"",5;""jun."",6;""jul."",7;""Aug"",8;""sep"",9;""Oct"",10;""nov."",11;""Dec"",12},2,FALSE),
      INDEX(SPL"&amp;"IT(O52,"" ""),2)
    ),
    ""dd/mm/yyyy""
  ),
"""")"),"01/07/2026")</f>
        <v>01/07/2026</v>
      </c>
    </row>
    <row r="53">
      <c r="A53" s="85" t="s">
        <v>561</v>
      </c>
      <c r="B53" s="85" t="s">
        <v>562</v>
      </c>
      <c r="C53" s="90"/>
      <c r="D53" s="90"/>
      <c r="E53" s="87"/>
      <c r="F53" s="86" t="s">
        <v>86</v>
      </c>
      <c r="G53" s="86" t="s">
        <v>389</v>
      </c>
      <c r="H53" s="87"/>
      <c r="I53" s="87"/>
      <c r="J53" s="86" t="s">
        <v>389</v>
      </c>
      <c r="K53" s="86" t="s">
        <v>390</v>
      </c>
      <c r="L53" s="86" t="s">
        <v>391</v>
      </c>
      <c r="M53" s="86" t="s">
        <v>392</v>
      </c>
      <c r="N53" s="86" t="s">
        <v>563</v>
      </c>
      <c r="O53" s="86" t="s">
        <v>554</v>
      </c>
      <c r="P53" s="89" t="str">
        <f>IFERROR(__xludf.DUMMYFUNCTION("IFERROR(
  TEXT(
    DATE(
      INDEX(SPLIT(O53,"" ""),3),
      VLOOKUP(INDEX(SPLIT(O53,"" ""),1),{""jan."",1;""Feb"",2;""mar."",3;""Apr"",4;""May"",5;""jun."",6;""jul."",7;""Aug"",8;""sep"",9;""Oct"",10;""nov."",11;""Dec"",12},2,FALSE),
      INDEX(SPL"&amp;"IT(O53,"" ""),2)
    ),
    ""dd/mm/yyyy""
  ),
"""")"),"15/05/2026")</f>
        <v>15/05/2026</v>
      </c>
    </row>
    <row r="54">
      <c r="A54" s="85" t="s">
        <v>564</v>
      </c>
      <c r="B54" s="85" t="s">
        <v>565</v>
      </c>
      <c r="C54" s="86" t="s">
        <v>387</v>
      </c>
      <c r="D54" s="86" t="s">
        <v>388</v>
      </c>
      <c r="E54" s="87"/>
      <c r="F54" s="86" t="s">
        <v>103</v>
      </c>
      <c r="G54" s="86" t="s">
        <v>389</v>
      </c>
      <c r="H54" s="87"/>
      <c r="I54" s="87"/>
      <c r="J54" s="86" t="s">
        <v>389</v>
      </c>
      <c r="K54" s="86" t="s">
        <v>390</v>
      </c>
      <c r="L54" s="86" t="s">
        <v>391</v>
      </c>
      <c r="M54" s="86" t="s">
        <v>392</v>
      </c>
      <c r="N54" s="86" t="s">
        <v>566</v>
      </c>
      <c r="O54" s="88">
        <v>46215.961805555555</v>
      </c>
      <c r="P54" s="89" t="str">
        <f>IFERROR(__xludf.DUMMYFUNCTION("IFERROR(
  TEXT(
    DATE(
      INDEX(SPLIT(O54,"" ""),3),
      VLOOKUP(INDEX(SPLIT(O54,"" ""),1),{""jan."",1;""Feb"",2;""mar."",3;""Apr"",4;""May"",5;""jun."",6;""jul."",7;""Aug"",8;""sep"",9;""Oct"",10;""nov."",11;""Dec"",12},2,FALSE),
      INDEX(SPL"&amp;"IT(O54,"" ""),2)
    ),
    ""dd/mm/yyyy""
  ),
"""")"),"12/07/2026")</f>
        <v>12/07/2026</v>
      </c>
    </row>
    <row r="55">
      <c r="A55" s="85" t="s">
        <v>567</v>
      </c>
      <c r="B55" s="85" t="s">
        <v>568</v>
      </c>
      <c r="C55" s="86" t="s">
        <v>387</v>
      </c>
      <c r="D55" s="86" t="s">
        <v>388</v>
      </c>
      <c r="E55" s="87"/>
      <c r="F55" s="86" t="s">
        <v>86</v>
      </c>
      <c r="G55" s="86" t="s">
        <v>389</v>
      </c>
      <c r="H55" s="87"/>
      <c r="I55" s="87"/>
      <c r="J55" s="86" t="s">
        <v>389</v>
      </c>
      <c r="K55" s="86" t="s">
        <v>390</v>
      </c>
      <c r="L55" s="86" t="s">
        <v>391</v>
      </c>
      <c r="M55" s="86" t="s">
        <v>392</v>
      </c>
      <c r="N55" s="86" t="s">
        <v>569</v>
      </c>
      <c r="O55" s="86" t="s">
        <v>570</v>
      </c>
      <c r="P55" s="89" t="str">
        <f>IFERROR(__xludf.DUMMYFUNCTION("IFERROR(
  TEXT(
    DATE(
      INDEX(SPLIT(O55,"" ""),3),
      VLOOKUP(INDEX(SPLIT(O55,"" ""),1),{""jan."",1;""Feb"",2;""mar."",3;""Apr"",4;""May"",5;""jun."",6;""jul."",7;""Aug"",8;""sep"",9;""Oct"",10;""nov."",11;""Dec"",12},2,FALSE),
      INDEX(SPL"&amp;"IT(O55,"" ""),2)
    ),
    ""dd/mm/yyyy""
  ),
"""")"),"15/05/2026")</f>
        <v>15/05/2026</v>
      </c>
    </row>
    <row r="56">
      <c r="A56" s="85" t="s">
        <v>571</v>
      </c>
      <c r="B56" s="85" t="s">
        <v>572</v>
      </c>
      <c r="C56" s="86" t="s">
        <v>387</v>
      </c>
      <c r="D56" s="86" t="s">
        <v>388</v>
      </c>
      <c r="E56" s="87"/>
      <c r="F56" s="86" t="s">
        <v>103</v>
      </c>
      <c r="G56" s="86" t="s">
        <v>389</v>
      </c>
      <c r="H56" s="87"/>
      <c r="I56" s="87"/>
      <c r="J56" s="86" t="s">
        <v>389</v>
      </c>
      <c r="K56" s="86" t="s">
        <v>390</v>
      </c>
      <c r="L56" s="86" t="s">
        <v>391</v>
      </c>
      <c r="M56" s="86" t="s">
        <v>392</v>
      </c>
      <c r="N56" s="86" t="s">
        <v>573</v>
      </c>
      <c r="O56" s="88">
        <v>46216.53055555555</v>
      </c>
      <c r="P56" s="89" t="str">
        <f>IFERROR(__xludf.DUMMYFUNCTION("IFERROR(
  TEXT(
    DATE(
      INDEX(SPLIT(O56,"" ""),3),
      VLOOKUP(INDEX(SPLIT(O56,"" ""),1),{""jan."",1;""Feb"",2;""mar."",3;""Apr"",4;""May"",5;""jun."",6;""jul."",7;""Aug"",8;""sep"",9;""Oct"",10;""nov."",11;""Dec"",12},2,FALSE),
      INDEX(SPL"&amp;"IT(O56,"" ""),2)
    ),
    ""dd/mm/yyyy""
  ),
"""")"),"13/07/2026")</f>
        <v>13/07/2026</v>
      </c>
    </row>
    <row r="57">
      <c r="A57" s="85" t="s">
        <v>574</v>
      </c>
      <c r="B57" s="85" t="s">
        <v>575</v>
      </c>
      <c r="C57" s="86" t="s">
        <v>387</v>
      </c>
      <c r="D57" s="86" t="s">
        <v>388</v>
      </c>
      <c r="E57" s="87"/>
      <c r="F57" s="86" t="s">
        <v>94</v>
      </c>
      <c r="G57" s="86" t="s">
        <v>389</v>
      </c>
      <c r="H57" s="87"/>
      <c r="I57" s="87"/>
      <c r="J57" s="86" t="s">
        <v>389</v>
      </c>
      <c r="K57" s="86" t="s">
        <v>390</v>
      </c>
      <c r="L57" s="86" t="s">
        <v>391</v>
      </c>
      <c r="M57" s="86" t="s">
        <v>392</v>
      </c>
      <c r="N57" s="86" t="s">
        <v>576</v>
      </c>
      <c r="O57" s="88">
        <v>46206.70277777778</v>
      </c>
      <c r="P57" s="89" t="str">
        <f>IFERROR(__xludf.DUMMYFUNCTION("IFERROR(
  TEXT(
    DATE(
      INDEX(SPLIT(O57,"" ""),3),
      VLOOKUP(INDEX(SPLIT(O57,"" ""),1),{""jan."",1;""Feb"",2;""mar."",3;""Apr"",4;""May"",5;""jun."",6;""jul."",7;""Aug"",8;""sep"",9;""Oct"",10;""nov."",11;""Dec"",12},2,FALSE),
      INDEX(SPL"&amp;"IT(O57,"" ""),2)
    ),
    ""dd/mm/yyyy""
  ),
"""")"),"03/07/2026")</f>
        <v>03/07/2026</v>
      </c>
    </row>
    <row r="58">
      <c r="A58" s="85" t="s">
        <v>577</v>
      </c>
      <c r="B58" s="85" t="s">
        <v>578</v>
      </c>
      <c r="C58" s="86" t="s">
        <v>387</v>
      </c>
      <c r="D58" s="86" t="s">
        <v>388</v>
      </c>
      <c r="E58" s="87"/>
      <c r="F58" s="86" t="s">
        <v>103</v>
      </c>
      <c r="G58" s="86" t="s">
        <v>389</v>
      </c>
      <c r="H58" s="87"/>
      <c r="I58" s="87"/>
      <c r="J58" s="86" t="s">
        <v>389</v>
      </c>
      <c r="K58" s="86" t="s">
        <v>390</v>
      </c>
      <c r="L58" s="86" t="s">
        <v>391</v>
      </c>
      <c r="M58" s="86" t="s">
        <v>392</v>
      </c>
      <c r="N58" s="86" t="s">
        <v>579</v>
      </c>
      <c r="O58" s="88">
        <v>46175.62569444445</v>
      </c>
      <c r="P58" s="89" t="str">
        <f>IFERROR(__xludf.DUMMYFUNCTION("IFERROR(
  TEXT(
    DATE(
      INDEX(SPLIT(O58,"" ""),3),
      VLOOKUP(INDEX(SPLIT(O58,"" ""),1),{""jan."",1;""Feb"",2;""mar."",3;""Apr"",4;""May"",5;""jun."",6;""jul."",7;""Aug"",8;""sep"",9;""Oct"",10;""nov."",11;""Dec"",12},2,FALSE),
      INDEX(SPL"&amp;"IT(O58,"" ""),2)
    ),
    ""dd/mm/yyyy""
  ),
"""")"),"02/06/2026")</f>
        <v>02/06/2026</v>
      </c>
    </row>
    <row r="59">
      <c r="A59" s="85" t="s">
        <v>580</v>
      </c>
      <c r="B59" s="85" t="s">
        <v>581</v>
      </c>
      <c r="C59" s="86" t="s">
        <v>387</v>
      </c>
      <c r="D59" s="86" t="s">
        <v>388</v>
      </c>
      <c r="E59" s="87"/>
      <c r="F59" s="86" t="s">
        <v>71</v>
      </c>
      <c r="G59" s="86" t="s">
        <v>389</v>
      </c>
      <c r="H59" s="87"/>
      <c r="I59" s="87"/>
      <c r="J59" s="86" t="s">
        <v>389</v>
      </c>
      <c r="K59" s="86" t="s">
        <v>390</v>
      </c>
      <c r="L59" s="86" t="s">
        <v>391</v>
      </c>
      <c r="M59" s="86" t="s">
        <v>392</v>
      </c>
      <c r="N59" s="86" t="s">
        <v>582</v>
      </c>
      <c r="O59" s="88">
        <v>46199.73402777778</v>
      </c>
      <c r="P59" s="89" t="str">
        <f>IFERROR(__xludf.DUMMYFUNCTION("IFERROR(
  TEXT(
    DATE(
      INDEX(SPLIT(O59,"" ""),3),
      VLOOKUP(INDEX(SPLIT(O59,"" ""),1),{""jan."",1;""Feb"",2;""mar."",3;""Apr"",4;""May"",5;""jun."",6;""jul."",7;""Aug"",8;""sep"",9;""Oct"",10;""nov."",11;""Dec"",12},2,FALSE),
      INDEX(SPL"&amp;"IT(O59,"" ""),2)
    ),
    ""dd/mm/yyyy""
  ),
"""")"),"26/06/2026")</f>
        <v>26/06/2026</v>
      </c>
    </row>
    <row r="60">
      <c r="A60" s="85" t="s">
        <v>583</v>
      </c>
      <c r="B60" s="85" t="s">
        <v>584</v>
      </c>
      <c r="C60" s="86" t="s">
        <v>387</v>
      </c>
      <c r="D60" s="86" t="s">
        <v>388</v>
      </c>
      <c r="E60" s="87"/>
      <c r="F60" s="86" t="s">
        <v>71</v>
      </c>
      <c r="G60" s="86" t="s">
        <v>389</v>
      </c>
      <c r="H60" s="87"/>
      <c r="I60" s="87"/>
      <c r="J60" s="86" t="s">
        <v>389</v>
      </c>
      <c r="K60" s="86" t="s">
        <v>390</v>
      </c>
      <c r="L60" s="86" t="s">
        <v>391</v>
      </c>
      <c r="M60" s="86" t="s">
        <v>392</v>
      </c>
      <c r="N60" s="86" t="s">
        <v>585</v>
      </c>
      <c r="O60" s="88">
        <v>46209.87013888889</v>
      </c>
      <c r="P60" s="89" t="str">
        <f>IFERROR(__xludf.DUMMYFUNCTION("IFERROR(
  TEXT(
    DATE(
      INDEX(SPLIT(O60,"" ""),3),
      VLOOKUP(INDEX(SPLIT(O60,"" ""),1),{""jan."",1;""Feb"",2;""mar."",3;""Apr"",4;""May"",5;""jun."",6;""jul."",7;""Aug"",8;""sep"",9;""Oct"",10;""nov."",11;""Dec"",12},2,FALSE),
      INDEX(SPL"&amp;"IT(O60,"" ""),2)
    ),
    ""dd/mm/yyyy""
  ),
"""")"),"06/07/2026")</f>
        <v>06/07/2026</v>
      </c>
    </row>
    <row r="61">
      <c r="A61" s="85" t="s">
        <v>586</v>
      </c>
      <c r="B61" s="85" t="s">
        <v>587</v>
      </c>
      <c r="C61" s="86" t="s">
        <v>387</v>
      </c>
      <c r="D61" s="86" t="s">
        <v>388</v>
      </c>
      <c r="E61" s="87"/>
      <c r="F61" s="86" t="s">
        <v>86</v>
      </c>
      <c r="G61" s="86" t="s">
        <v>389</v>
      </c>
      <c r="H61" s="87"/>
      <c r="I61" s="87"/>
      <c r="J61" s="86" t="s">
        <v>389</v>
      </c>
      <c r="K61" s="86" t="s">
        <v>390</v>
      </c>
      <c r="L61" s="86" t="s">
        <v>391</v>
      </c>
      <c r="M61" s="86" t="s">
        <v>392</v>
      </c>
      <c r="N61" s="86" t="s">
        <v>588</v>
      </c>
      <c r="O61" s="86" t="s">
        <v>589</v>
      </c>
      <c r="P61" s="89" t="str">
        <f>IFERROR(__xludf.DUMMYFUNCTION("IFERROR(
  TEXT(
    DATE(
      INDEX(SPLIT(O61,"" ""),3),
      VLOOKUP(INDEX(SPLIT(O61,"" ""),1),{""jan."",1;""Feb"",2;""mar."",3;""Apr"",4;""May"",5;""jun."",6;""jul."",7;""Aug"",8;""sep"",9;""Oct"",10;""nov."",11;""Dec"",12},2,FALSE),
      INDEX(SPL"&amp;"IT(O61,"" ""),2)
    ),
    ""dd/mm/yyyy""
  ),
"""")"),"19/05/2026")</f>
        <v>19/05/2026</v>
      </c>
    </row>
    <row r="62">
      <c r="A62" s="85" t="s">
        <v>590</v>
      </c>
      <c r="B62" s="85" t="s">
        <v>591</v>
      </c>
      <c r="C62" s="86" t="s">
        <v>387</v>
      </c>
      <c r="D62" s="86" t="s">
        <v>388</v>
      </c>
      <c r="E62" s="87"/>
      <c r="F62" s="86" t="s">
        <v>131</v>
      </c>
      <c r="G62" s="86" t="s">
        <v>389</v>
      </c>
      <c r="H62" s="87"/>
      <c r="I62" s="87"/>
      <c r="J62" s="86" t="s">
        <v>389</v>
      </c>
      <c r="K62" s="86" t="s">
        <v>390</v>
      </c>
      <c r="L62" s="86" t="s">
        <v>391</v>
      </c>
      <c r="M62" s="86" t="s">
        <v>392</v>
      </c>
      <c r="N62" s="86" t="s">
        <v>592</v>
      </c>
      <c r="O62" s="88">
        <v>46216.70416666667</v>
      </c>
      <c r="P62" s="89" t="str">
        <f>IFERROR(__xludf.DUMMYFUNCTION("IFERROR(
  TEXT(
    DATE(
      INDEX(SPLIT(O62,"" ""),3),
      VLOOKUP(INDEX(SPLIT(O62,"" ""),1),{""jan."",1;""Feb"",2;""mar."",3;""Apr"",4;""May"",5;""jun."",6;""jul."",7;""Aug"",8;""sep"",9;""Oct"",10;""nov."",11;""Dec"",12},2,FALSE),
      INDEX(SPL"&amp;"IT(O62,"" ""),2)
    ),
    ""dd/mm/yyyy""
  ),
"""")"),"13/07/2026")</f>
        <v>13/07/2026</v>
      </c>
    </row>
    <row r="63">
      <c r="A63" s="85" t="s">
        <v>593</v>
      </c>
      <c r="B63" s="85" t="s">
        <v>594</v>
      </c>
      <c r="C63" s="86" t="s">
        <v>387</v>
      </c>
      <c r="D63" s="86" t="s">
        <v>388</v>
      </c>
      <c r="E63" s="87"/>
      <c r="F63" s="86" t="s">
        <v>103</v>
      </c>
      <c r="G63" s="86" t="s">
        <v>389</v>
      </c>
      <c r="H63" s="87"/>
      <c r="I63" s="87"/>
      <c r="J63" s="86" t="s">
        <v>389</v>
      </c>
      <c r="K63" s="86" t="s">
        <v>390</v>
      </c>
      <c r="L63" s="86" t="s">
        <v>391</v>
      </c>
      <c r="M63" s="86" t="s">
        <v>392</v>
      </c>
      <c r="N63" s="86" t="s">
        <v>595</v>
      </c>
      <c r="O63" s="88">
        <v>46206.58472222222</v>
      </c>
      <c r="P63" s="89" t="str">
        <f>IFERROR(__xludf.DUMMYFUNCTION("IFERROR(
  TEXT(
    DATE(
      INDEX(SPLIT(O63,"" ""),3),
      VLOOKUP(INDEX(SPLIT(O63,"" ""),1),{""jan."",1;""Feb"",2;""mar."",3;""Apr"",4;""May"",5;""jun."",6;""jul."",7;""Aug"",8;""sep"",9;""Oct"",10;""nov."",11;""Dec"",12},2,FALSE),
      INDEX(SPL"&amp;"IT(O63,"" ""),2)
    ),
    ""dd/mm/yyyy""
  ),
"""")"),"03/07/2026")</f>
        <v>03/07/2026</v>
      </c>
    </row>
    <row r="64">
      <c r="A64" s="85" t="s">
        <v>596</v>
      </c>
      <c r="B64" s="85" t="s">
        <v>597</v>
      </c>
      <c r="C64" s="86" t="s">
        <v>387</v>
      </c>
      <c r="D64" s="86" t="s">
        <v>388</v>
      </c>
      <c r="E64" s="87"/>
      <c r="F64" s="86" t="s">
        <v>94</v>
      </c>
      <c r="G64" s="86" t="s">
        <v>389</v>
      </c>
      <c r="H64" s="87"/>
      <c r="I64" s="87"/>
      <c r="J64" s="86" t="s">
        <v>389</v>
      </c>
      <c r="K64" s="86" t="s">
        <v>390</v>
      </c>
      <c r="L64" s="86" t="s">
        <v>391</v>
      </c>
      <c r="M64" s="86" t="s">
        <v>392</v>
      </c>
      <c r="N64" s="86" t="s">
        <v>598</v>
      </c>
      <c r="O64" s="88">
        <v>46215.61944444444</v>
      </c>
      <c r="P64" s="89" t="str">
        <f>IFERROR(__xludf.DUMMYFUNCTION("IFERROR(
  TEXT(
    DATE(
      INDEX(SPLIT(O64,"" ""),3),
      VLOOKUP(INDEX(SPLIT(O64,"" ""),1),{""jan."",1;""Feb"",2;""mar."",3;""Apr"",4;""May"",5;""jun."",6;""jul."",7;""Aug"",8;""sep"",9;""Oct"",10;""nov."",11;""Dec"",12},2,FALSE),
      INDEX(SPL"&amp;"IT(O64,"" ""),2)
    ),
    ""dd/mm/yyyy""
  ),
"""")"),"12/07/2026")</f>
        <v>12/07/2026</v>
      </c>
    </row>
    <row r="65">
      <c r="A65" s="85" t="s">
        <v>599</v>
      </c>
      <c r="B65" s="85" t="s">
        <v>600</v>
      </c>
      <c r="C65" s="86" t="s">
        <v>387</v>
      </c>
      <c r="D65" s="86" t="s">
        <v>388</v>
      </c>
      <c r="E65" s="87"/>
      <c r="F65" s="86" t="s">
        <v>86</v>
      </c>
      <c r="G65" s="86" t="s">
        <v>389</v>
      </c>
      <c r="H65" s="87"/>
      <c r="I65" s="87"/>
      <c r="J65" s="86" t="s">
        <v>389</v>
      </c>
      <c r="K65" s="86" t="s">
        <v>390</v>
      </c>
      <c r="L65" s="86" t="s">
        <v>391</v>
      </c>
      <c r="M65" s="86" t="s">
        <v>392</v>
      </c>
      <c r="N65" s="86" t="s">
        <v>601</v>
      </c>
      <c r="O65" s="86" t="s">
        <v>602</v>
      </c>
      <c r="P65" s="89" t="str">
        <f>IFERROR(__xludf.DUMMYFUNCTION("IFERROR(
  TEXT(
    DATE(
      INDEX(SPLIT(O65,"" ""),3),
      VLOOKUP(INDEX(SPLIT(O65,"" ""),1),{""jan."",1;""Feb"",2;""mar."",3;""Apr"",4;""May"",5;""jun."",6;""jul."",7;""Aug"",8;""sep"",9;""Oct"",10;""nov."",11;""Dec"",12},2,FALSE),
      INDEX(SPL"&amp;"IT(O65,"" ""),2)
    ),
    ""dd/mm/yyyy""
  ),
"""")"),"15/05/2026")</f>
        <v>15/05/2026</v>
      </c>
    </row>
    <row r="66">
      <c r="A66" s="85" t="s">
        <v>603</v>
      </c>
      <c r="B66" s="85" t="s">
        <v>604</v>
      </c>
      <c r="C66" s="86" t="s">
        <v>387</v>
      </c>
      <c r="D66" s="86" t="s">
        <v>388</v>
      </c>
      <c r="E66" s="87"/>
      <c r="F66" s="86" t="s">
        <v>103</v>
      </c>
      <c r="G66" s="86" t="s">
        <v>389</v>
      </c>
      <c r="H66" s="87"/>
      <c r="I66" s="87"/>
      <c r="J66" s="86" t="s">
        <v>389</v>
      </c>
      <c r="K66" s="86" t="s">
        <v>390</v>
      </c>
      <c r="L66" s="86" t="s">
        <v>391</v>
      </c>
      <c r="M66" s="86" t="s">
        <v>392</v>
      </c>
      <c r="N66" s="86" t="s">
        <v>605</v>
      </c>
      <c r="O66" s="88">
        <v>46209.572916666664</v>
      </c>
      <c r="P66" s="89" t="str">
        <f>IFERROR(__xludf.DUMMYFUNCTION("IFERROR(
  TEXT(
    DATE(
      INDEX(SPLIT(O66,"" ""),3),
      VLOOKUP(INDEX(SPLIT(O66,"" ""),1),{""jan."",1;""Feb"",2;""mar."",3;""Apr"",4;""May"",5;""jun."",6;""jul."",7;""Aug"",8;""sep"",9;""Oct"",10;""nov."",11;""Dec"",12},2,FALSE),
      INDEX(SPL"&amp;"IT(O66,"" ""),2)
    ),
    ""dd/mm/yyyy""
  ),
"""")"),"06/07/2026")</f>
        <v>06/07/2026</v>
      </c>
    </row>
    <row r="67">
      <c r="A67" s="85" t="s">
        <v>606</v>
      </c>
      <c r="B67" s="85" t="s">
        <v>607</v>
      </c>
      <c r="C67" s="86" t="s">
        <v>387</v>
      </c>
      <c r="D67" s="86" t="s">
        <v>388</v>
      </c>
      <c r="E67" s="87"/>
      <c r="F67" s="86" t="s">
        <v>94</v>
      </c>
      <c r="G67" s="86" t="s">
        <v>389</v>
      </c>
      <c r="H67" s="87"/>
      <c r="I67" s="87"/>
      <c r="J67" s="86" t="s">
        <v>389</v>
      </c>
      <c r="K67" s="86" t="s">
        <v>390</v>
      </c>
      <c r="L67" s="86" t="s">
        <v>391</v>
      </c>
      <c r="M67" s="86" t="s">
        <v>392</v>
      </c>
      <c r="N67" s="86" t="s">
        <v>608</v>
      </c>
      <c r="O67" s="88">
        <v>46213.47430555556</v>
      </c>
      <c r="P67" s="89" t="str">
        <f>IFERROR(__xludf.DUMMYFUNCTION("IFERROR(
  TEXT(
    DATE(
      INDEX(SPLIT(O67,"" ""),3),
      VLOOKUP(INDEX(SPLIT(O67,"" ""),1),{""jan."",1;""Feb"",2;""mar."",3;""Apr"",4;""May"",5;""jun."",6;""jul."",7;""Aug"",8;""sep"",9;""Oct"",10;""nov."",11;""Dec"",12},2,FALSE),
      INDEX(SPL"&amp;"IT(O67,"" ""),2)
    ),
    ""dd/mm/yyyy""
  ),
"""")"),"10/07/2026")</f>
        <v>10/07/2026</v>
      </c>
    </row>
    <row r="68">
      <c r="A68" s="85" t="s">
        <v>609</v>
      </c>
      <c r="B68" s="85" t="s">
        <v>610</v>
      </c>
      <c r="C68" s="86" t="s">
        <v>387</v>
      </c>
      <c r="D68" s="86" t="s">
        <v>388</v>
      </c>
      <c r="E68" s="87"/>
      <c r="F68" s="86" t="s">
        <v>71</v>
      </c>
      <c r="G68" s="86" t="s">
        <v>389</v>
      </c>
      <c r="H68" s="87"/>
      <c r="I68" s="87"/>
      <c r="J68" s="86" t="s">
        <v>389</v>
      </c>
      <c r="K68" s="86" t="s">
        <v>390</v>
      </c>
      <c r="L68" s="86" t="s">
        <v>391</v>
      </c>
      <c r="M68" s="86" t="s">
        <v>392</v>
      </c>
      <c r="N68" s="86" t="s">
        <v>611</v>
      </c>
      <c r="O68" s="88">
        <v>46198.836805555555</v>
      </c>
      <c r="P68" s="89" t="str">
        <f>IFERROR(__xludf.DUMMYFUNCTION("IFERROR(
  TEXT(
    DATE(
      INDEX(SPLIT(O68,"" ""),3),
      VLOOKUP(INDEX(SPLIT(O68,"" ""),1),{""jan."",1;""Feb"",2;""mar."",3;""Apr"",4;""May"",5;""jun."",6;""jul."",7;""Aug"",8;""sep"",9;""Oct"",10;""nov."",11;""Dec"",12},2,FALSE),
      INDEX(SPL"&amp;"IT(O68,"" ""),2)
    ),
    ""dd/mm/yyyy""
  ),
"""")"),"25/06/2026")</f>
        <v>25/06/2026</v>
      </c>
    </row>
    <row r="69">
      <c r="A69" s="85" t="s">
        <v>612</v>
      </c>
      <c r="B69" s="85" t="s">
        <v>613</v>
      </c>
      <c r="C69" s="86" t="s">
        <v>387</v>
      </c>
      <c r="D69" s="86" t="s">
        <v>388</v>
      </c>
      <c r="E69" s="87"/>
      <c r="F69" s="86" t="s">
        <v>71</v>
      </c>
      <c r="G69" s="86" t="s">
        <v>389</v>
      </c>
      <c r="H69" s="87"/>
      <c r="I69" s="87"/>
      <c r="J69" s="86" t="s">
        <v>389</v>
      </c>
      <c r="K69" s="86" t="s">
        <v>390</v>
      </c>
      <c r="L69" s="86" t="s">
        <v>391</v>
      </c>
      <c r="M69" s="86" t="s">
        <v>392</v>
      </c>
      <c r="N69" s="86" t="s">
        <v>614</v>
      </c>
      <c r="O69" s="88">
        <v>46216.66875</v>
      </c>
      <c r="P69" s="89" t="str">
        <f>IFERROR(__xludf.DUMMYFUNCTION("IFERROR(
  TEXT(
    DATE(
      INDEX(SPLIT(O69,"" ""),3),
      VLOOKUP(INDEX(SPLIT(O69,"" ""),1),{""jan."",1;""Feb"",2;""mar."",3;""Apr"",4;""May"",5;""jun."",6;""jul."",7;""Aug"",8;""sep"",9;""Oct"",10;""nov."",11;""Dec"",12},2,FALSE),
      INDEX(SPL"&amp;"IT(O69,"" ""),2)
    ),
    ""dd/mm/yyyy""
  ),
"""")"),"13/07/2026")</f>
        <v>13/07/2026</v>
      </c>
    </row>
    <row r="70">
      <c r="A70" s="85" t="s">
        <v>615</v>
      </c>
      <c r="B70" s="85" t="s">
        <v>616</v>
      </c>
      <c r="C70" s="86" t="s">
        <v>387</v>
      </c>
      <c r="D70" s="86" t="s">
        <v>388</v>
      </c>
      <c r="E70" s="87"/>
      <c r="F70" s="86" t="s">
        <v>131</v>
      </c>
      <c r="G70" s="86" t="s">
        <v>389</v>
      </c>
      <c r="H70" s="87"/>
      <c r="I70" s="87"/>
      <c r="J70" s="86" t="s">
        <v>389</v>
      </c>
      <c r="K70" s="86" t="s">
        <v>390</v>
      </c>
      <c r="L70" s="86" t="s">
        <v>391</v>
      </c>
      <c r="M70" s="86" t="s">
        <v>392</v>
      </c>
      <c r="N70" s="86" t="s">
        <v>452</v>
      </c>
      <c r="O70" s="88">
        <v>46211.57638888889</v>
      </c>
      <c r="P70" s="89" t="str">
        <f>IFERROR(__xludf.DUMMYFUNCTION("IFERROR(
  TEXT(
    DATE(
      INDEX(SPLIT(O70,"" ""),3),
      VLOOKUP(INDEX(SPLIT(O70,"" ""),1),{""jan."",1;""Feb"",2;""mar."",3;""Apr"",4;""May"",5;""jun."",6;""jul."",7;""Aug"",8;""sep"",9;""Oct"",10;""nov."",11;""Dec"",12},2,FALSE),
      INDEX(SPL"&amp;"IT(O70,"" ""),2)
    ),
    ""dd/mm/yyyy""
  ),
"""")"),"08/07/2026")</f>
        <v>08/07/2026</v>
      </c>
    </row>
    <row r="71">
      <c r="A71" s="85" t="s">
        <v>617</v>
      </c>
      <c r="B71" s="85" t="s">
        <v>618</v>
      </c>
      <c r="C71" s="86" t="s">
        <v>387</v>
      </c>
      <c r="D71" s="86" t="s">
        <v>388</v>
      </c>
      <c r="E71" s="87"/>
      <c r="F71" s="86" t="s">
        <v>71</v>
      </c>
      <c r="G71" s="86" t="s">
        <v>389</v>
      </c>
      <c r="H71" s="87"/>
      <c r="I71" s="87"/>
      <c r="J71" s="86" t="s">
        <v>389</v>
      </c>
      <c r="K71" s="86" t="s">
        <v>390</v>
      </c>
      <c r="L71" s="86" t="s">
        <v>391</v>
      </c>
      <c r="M71" s="86" t="s">
        <v>392</v>
      </c>
      <c r="N71" s="86" t="s">
        <v>619</v>
      </c>
      <c r="O71" s="88">
        <v>46216.92569444444</v>
      </c>
      <c r="P71" s="89" t="str">
        <f>IFERROR(__xludf.DUMMYFUNCTION("IFERROR(
  TEXT(
    DATE(
      INDEX(SPLIT(O71,"" ""),3),
      VLOOKUP(INDEX(SPLIT(O71,"" ""),1),{""jan."",1;""Feb"",2;""mar."",3;""Apr"",4;""May"",5;""jun."",6;""jul."",7;""Aug"",8;""sep"",9;""Oct"",10;""nov."",11;""Dec"",12},2,FALSE),
      INDEX(SPL"&amp;"IT(O71,"" ""),2)
    ),
    ""dd/mm/yyyy""
  ),
"""")"),"13/07/2026")</f>
        <v>13/07/2026</v>
      </c>
    </row>
    <row r="72">
      <c r="A72" s="85" t="s">
        <v>620</v>
      </c>
      <c r="B72" s="85" t="s">
        <v>621</v>
      </c>
      <c r="C72" s="86" t="s">
        <v>387</v>
      </c>
      <c r="D72" s="86" t="s">
        <v>388</v>
      </c>
      <c r="E72" s="87"/>
      <c r="F72" s="86" t="s">
        <v>103</v>
      </c>
      <c r="G72" s="86" t="s">
        <v>389</v>
      </c>
      <c r="H72" s="87"/>
      <c r="I72" s="87"/>
      <c r="J72" s="86" t="s">
        <v>389</v>
      </c>
      <c r="K72" s="86" t="s">
        <v>390</v>
      </c>
      <c r="L72" s="86" t="s">
        <v>391</v>
      </c>
      <c r="M72" s="86" t="s">
        <v>392</v>
      </c>
      <c r="N72" s="86" t="s">
        <v>622</v>
      </c>
      <c r="O72" s="88">
        <v>46216.53333333333</v>
      </c>
      <c r="P72" s="89" t="str">
        <f>IFERROR(__xludf.DUMMYFUNCTION("IFERROR(
  TEXT(
    DATE(
      INDEX(SPLIT(O72,"" ""),3),
      VLOOKUP(INDEX(SPLIT(O72,"" ""),1),{""jan."",1;""Feb"",2;""mar."",3;""Apr"",4;""May"",5;""jun."",6;""jul."",7;""Aug"",8;""sep"",9;""Oct"",10;""nov."",11;""Dec"",12},2,FALSE),
      INDEX(SPL"&amp;"IT(O72,"" ""),2)
    ),
    ""dd/mm/yyyy""
  ),
"""")"),"13/07/2026")</f>
        <v>13/07/2026</v>
      </c>
    </row>
    <row r="73">
      <c r="A73" s="85" t="s">
        <v>623</v>
      </c>
      <c r="B73" s="85" t="s">
        <v>624</v>
      </c>
      <c r="C73" s="86" t="s">
        <v>387</v>
      </c>
      <c r="D73" s="86" t="s">
        <v>388</v>
      </c>
      <c r="E73" s="87"/>
      <c r="F73" s="86" t="s">
        <v>103</v>
      </c>
      <c r="G73" s="86" t="s">
        <v>389</v>
      </c>
      <c r="H73" s="87"/>
      <c r="I73" s="87"/>
      <c r="J73" s="86" t="s">
        <v>389</v>
      </c>
      <c r="K73" s="86" t="s">
        <v>390</v>
      </c>
      <c r="L73" s="86" t="s">
        <v>391</v>
      </c>
      <c r="M73" s="86" t="s">
        <v>392</v>
      </c>
      <c r="N73" s="86" t="s">
        <v>625</v>
      </c>
      <c r="O73" s="88">
        <v>46196.48263888889</v>
      </c>
      <c r="P73" s="89" t="str">
        <f>IFERROR(__xludf.DUMMYFUNCTION("IFERROR(
  TEXT(
    DATE(
      INDEX(SPLIT(O73,"" ""),3),
      VLOOKUP(INDEX(SPLIT(O73,"" ""),1),{""jan."",1;""Feb"",2;""mar."",3;""Apr"",4;""May"",5;""jun."",6;""jul."",7;""Aug"",8;""sep"",9;""Oct"",10;""nov."",11;""Dec"",12},2,FALSE),
      INDEX(SPL"&amp;"IT(O73,"" ""),2)
    ),
    ""dd/mm/yyyy""
  ),
"""")"),"23/06/2026")</f>
        <v>23/06/2026</v>
      </c>
    </row>
    <row r="74">
      <c r="A74" s="85" t="s">
        <v>626</v>
      </c>
      <c r="B74" s="85" t="s">
        <v>627</v>
      </c>
      <c r="C74" s="86" t="s">
        <v>387</v>
      </c>
      <c r="D74" s="86" t="s">
        <v>388</v>
      </c>
      <c r="E74" s="87"/>
      <c r="F74" s="86" t="s">
        <v>103</v>
      </c>
      <c r="G74" s="86" t="s">
        <v>389</v>
      </c>
      <c r="H74" s="87"/>
      <c r="I74" s="87"/>
      <c r="J74" s="86" t="s">
        <v>389</v>
      </c>
      <c r="K74" s="86" t="s">
        <v>390</v>
      </c>
      <c r="L74" s="86" t="s">
        <v>391</v>
      </c>
      <c r="M74" s="86" t="s">
        <v>392</v>
      </c>
      <c r="N74" s="86" t="s">
        <v>628</v>
      </c>
      <c r="O74" s="88">
        <v>46176.78680555556</v>
      </c>
      <c r="P74" s="89" t="str">
        <f>IFERROR(__xludf.DUMMYFUNCTION("IFERROR(
  TEXT(
    DATE(
      INDEX(SPLIT(O74,"" ""),3),
      VLOOKUP(INDEX(SPLIT(O74,"" ""),1),{""jan."",1;""Feb"",2;""mar."",3;""Apr"",4;""May"",5;""jun."",6;""jul."",7;""Aug"",8;""sep"",9;""Oct"",10;""nov."",11;""Dec"",12},2,FALSE),
      INDEX(SPL"&amp;"IT(O74,"" ""),2)
    ),
    ""dd/mm/yyyy""
  ),
"""")"),"03/06/2026")</f>
        <v>03/06/2026</v>
      </c>
    </row>
    <row r="75">
      <c r="A75" s="85" t="s">
        <v>629</v>
      </c>
      <c r="B75" s="85" t="s">
        <v>630</v>
      </c>
      <c r="C75" s="86" t="s">
        <v>387</v>
      </c>
      <c r="D75" s="86" t="s">
        <v>388</v>
      </c>
      <c r="E75" s="87"/>
      <c r="F75" s="86" t="s">
        <v>103</v>
      </c>
      <c r="G75" s="86" t="s">
        <v>389</v>
      </c>
      <c r="H75" s="87"/>
      <c r="I75" s="87"/>
      <c r="J75" s="86" t="s">
        <v>389</v>
      </c>
      <c r="K75" s="86" t="s">
        <v>390</v>
      </c>
      <c r="L75" s="86" t="s">
        <v>391</v>
      </c>
      <c r="M75" s="86" t="s">
        <v>392</v>
      </c>
      <c r="N75" s="86" t="s">
        <v>631</v>
      </c>
      <c r="O75" s="88">
        <v>46174.66805555556</v>
      </c>
      <c r="P75" s="89" t="str">
        <f>IFERROR(__xludf.DUMMYFUNCTION("IFERROR(
  TEXT(
    DATE(
      INDEX(SPLIT(O75,"" ""),3),
      VLOOKUP(INDEX(SPLIT(O75,"" ""),1),{""jan."",1;""Feb"",2;""mar."",3;""Apr"",4;""May"",5;""jun."",6;""jul."",7;""Aug"",8;""sep"",9;""Oct"",10;""nov."",11;""Dec"",12},2,FALSE),
      INDEX(SPL"&amp;"IT(O75,"" ""),2)
    ),
    ""dd/mm/yyyy""
  ),
"""")"),"01/06/2026")</f>
        <v>01/06/2026</v>
      </c>
    </row>
    <row r="76">
      <c r="A76" s="85" t="s">
        <v>632</v>
      </c>
      <c r="B76" s="85" t="s">
        <v>633</v>
      </c>
      <c r="C76" s="86" t="s">
        <v>387</v>
      </c>
      <c r="D76" s="86" t="s">
        <v>388</v>
      </c>
      <c r="E76" s="87"/>
      <c r="F76" s="86" t="s">
        <v>94</v>
      </c>
      <c r="G76" s="86" t="s">
        <v>389</v>
      </c>
      <c r="H76" s="87"/>
      <c r="I76" s="87"/>
      <c r="J76" s="86" t="s">
        <v>389</v>
      </c>
      <c r="K76" s="86" t="s">
        <v>390</v>
      </c>
      <c r="L76" s="86" t="s">
        <v>391</v>
      </c>
      <c r="M76" s="86" t="s">
        <v>392</v>
      </c>
      <c r="N76" s="86" t="s">
        <v>634</v>
      </c>
      <c r="O76" s="88">
        <v>46216.65555555555</v>
      </c>
      <c r="P76" s="89" t="str">
        <f>IFERROR(__xludf.DUMMYFUNCTION("IFERROR(
  TEXT(
    DATE(
      INDEX(SPLIT(O76,"" ""),3),
      VLOOKUP(INDEX(SPLIT(O76,"" ""),1),{""jan."",1;""Feb"",2;""mar."",3;""Apr"",4;""May"",5;""jun."",6;""jul."",7;""Aug"",8;""sep"",9;""Oct"",10;""nov."",11;""Dec"",12},2,FALSE),
      INDEX(SPL"&amp;"IT(O76,"" ""),2)
    ),
    ""dd/mm/yyyy""
  ),
"""")"),"13/07/2026")</f>
        <v>13/07/2026</v>
      </c>
    </row>
    <row r="77">
      <c r="A77" s="85" t="s">
        <v>635</v>
      </c>
      <c r="B77" s="85" t="s">
        <v>636</v>
      </c>
      <c r="C77" s="86" t="s">
        <v>387</v>
      </c>
      <c r="D77" s="86" t="s">
        <v>388</v>
      </c>
      <c r="E77" s="87"/>
      <c r="F77" s="86" t="s">
        <v>86</v>
      </c>
      <c r="G77" s="86" t="s">
        <v>389</v>
      </c>
      <c r="H77" s="87"/>
      <c r="I77" s="87"/>
      <c r="J77" s="86" t="s">
        <v>389</v>
      </c>
      <c r="K77" s="86" t="s">
        <v>390</v>
      </c>
      <c r="L77" s="86" t="s">
        <v>391</v>
      </c>
      <c r="M77" s="86" t="s">
        <v>392</v>
      </c>
      <c r="N77" s="86" t="s">
        <v>637</v>
      </c>
      <c r="O77" s="86" t="s">
        <v>638</v>
      </c>
      <c r="P77" s="89" t="str">
        <f>IFERROR(__xludf.DUMMYFUNCTION("IFERROR(
  TEXT(
    DATE(
      INDEX(SPLIT(O77,"" ""),3),
      VLOOKUP(INDEX(SPLIT(O77,"" ""),1),{""jan."",1;""Feb"",2;""mar."",3;""Apr"",4;""May"",5;""jun."",6;""jul."",7;""Aug"",8;""sep"",9;""Oct"",10;""nov."",11;""Dec"",12},2,FALSE),
      INDEX(SPL"&amp;"IT(O77,"" ""),2)
    ),
    ""dd/mm/yyyy""
  ),
"""")"),"20/05/2026")</f>
        <v>20/05/2026</v>
      </c>
    </row>
    <row r="78">
      <c r="A78" s="85" t="s">
        <v>639</v>
      </c>
      <c r="B78" s="85" t="s">
        <v>640</v>
      </c>
      <c r="C78" s="90"/>
      <c r="D78" s="90"/>
      <c r="E78" s="87"/>
      <c r="F78" s="86" t="s">
        <v>86</v>
      </c>
      <c r="G78" s="86" t="s">
        <v>389</v>
      </c>
      <c r="H78" s="87"/>
      <c r="I78" s="87"/>
      <c r="J78" s="86" t="s">
        <v>389</v>
      </c>
      <c r="K78" s="86" t="s">
        <v>390</v>
      </c>
      <c r="L78" s="86" t="s">
        <v>391</v>
      </c>
      <c r="M78" s="86" t="s">
        <v>392</v>
      </c>
      <c r="N78" s="86" t="s">
        <v>641</v>
      </c>
      <c r="O78" s="86" t="s">
        <v>642</v>
      </c>
      <c r="P78" s="89" t="str">
        <f>IFERROR(__xludf.DUMMYFUNCTION("IFERROR(
  TEXT(
    DATE(
      INDEX(SPLIT(O78,"" ""),3),
      VLOOKUP(INDEX(SPLIT(O78,"" ""),1),{""jan."",1;""Feb"",2;""mar."",3;""Apr"",4;""May"",5;""jun."",6;""jul."",7;""Aug"",8;""sep"",9;""Oct"",10;""nov."",11;""Dec"",12},2,FALSE),
      INDEX(SPL"&amp;"IT(O78,"" ""),2)
    ),
    ""dd/mm/yyyy""
  ),
"""")"),"19/05/2026")</f>
        <v>19/05/2026</v>
      </c>
    </row>
    <row r="79">
      <c r="A79" s="85" t="s">
        <v>643</v>
      </c>
      <c r="B79" s="85" t="s">
        <v>644</v>
      </c>
      <c r="C79" s="86" t="s">
        <v>387</v>
      </c>
      <c r="D79" s="86" t="s">
        <v>388</v>
      </c>
      <c r="E79" s="87"/>
      <c r="F79" s="86" t="s">
        <v>131</v>
      </c>
      <c r="G79" s="86" t="s">
        <v>389</v>
      </c>
      <c r="H79" s="87"/>
      <c r="I79" s="87"/>
      <c r="J79" s="86" t="s">
        <v>389</v>
      </c>
      <c r="K79" s="86" t="s">
        <v>390</v>
      </c>
      <c r="L79" s="86" t="s">
        <v>391</v>
      </c>
      <c r="M79" s="86" t="s">
        <v>392</v>
      </c>
      <c r="N79" s="86" t="s">
        <v>645</v>
      </c>
      <c r="O79" s="88">
        <v>46211.7</v>
      </c>
      <c r="P79" s="89" t="str">
        <f>IFERROR(__xludf.DUMMYFUNCTION("IFERROR(
  TEXT(
    DATE(
      INDEX(SPLIT(O79,"" ""),3),
      VLOOKUP(INDEX(SPLIT(O79,"" ""),1),{""jan."",1;""Feb"",2;""mar."",3;""Apr"",4;""May"",5;""jun."",6;""jul."",7;""Aug"",8;""sep"",9;""Oct"",10;""nov."",11;""Dec"",12},2,FALSE),
      INDEX(SPL"&amp;"IT(O79,"" ""),2)
    ),
    ""dd/mm/yyyy""
  ),
"""")"),"08/07/2026")</f>
        <v>08/07/2026</v>
      </c>
    </row>
    <row r="80">
      <c r="A80" s="85" t="s">
        <v>646</v>
      </c>
      <c r="B80" s="85" t="s">
        <v>647</v>
      </c>
      <c r="C80" s="86" t="s">
        <v>387</v>
      </c>
      <c r="D80" s="86" t="s">
        <v>388</v>
      </c>
      <c r="E80" s="87"/>
      <c r="F80" s="86" t="s">
        <v>131</v>
      </c>
      <c r="G80" s="86" t="s">
        <v>389</v>
      </c>
      <c r="H80" s="87"/>
      <c r="I80" s="87"/>
      <c r="J80" s="86" t="s">
        <v>389</v>
      </c>
      <c r="K80" s="86" t="s">
        <v>390</v>
      </c>
      <c r="L80" s="86" t="s">
        <v>391</v>
      </c>
      <c r="M80" s="86" t="s">
        <v>392</v>
      </c>
      <c r="N80" s="86" t="s">
        <v>648</v>
      </c>
      <c r="O80" s="88">
        <v>46213.66527777778</v>
      </c>
      <c r="P80" s="89" t="str">
        <f>IFERROR(__xludf.DUMMYFUNCTION("IFERROR(
  TEXT(
    DATE(
      INDEX(SPLIT(O80,"" ""),3),
      VLOOKUP(INDEX(SPLIT(O80,"" ""),1),{""jan."",1;""Feb"",2;""mar."",3;""Apr"",4;""May"",5;""jun."",6;""jul."",7;""Aug"",8;""sep"",9;""Oct"",10;""nov."",11;""Dec"",12},2,FALSE),
      INDEX(SPL"&amp;"IT(O80,"" ""),2)
    ),
    ""dd/mm/yyyy""
  ),
"""")"),"10/07/2026")</f>
        <v>10/07/2026</v>
      </c>
    </row>
    <row r="81">
      <c r="A81" s="85" t="s">
        <v>649</v>
      </c>
      <c r="B81" s="85" t="s">
        <v>650</v>
      </c>
      <c r="C81" s="86" t="s">
        <v>387</v>
      </c>
      <c r="D81" s="86" t="s">
        <v>388</v>
      </c>
      <c r="E81" s="87"/>
      <c r="F81" s="86" t="s">
        <v>94</v>
      </c>
      <c r="G81" s="86" t="s">
        <v>389</v>
      </c>
      <c r="H81" s="87"/>
      <c r="I81" s="87"/>
      <c r="J81" s="86" t="s">
        <v>389</v>
      </c>
      <c r="K81" s="86" t="s">
        <v>390</v>
      </c>
      <c r="L81" s="86" t="s">
        <v>391</v>
      </c>
      <c r="M81" s="86" t="s">
        <v>392</v>
      </c>
      <c r="N81" s="86" t="s">
        <v>651</v>
      </c>
      <c r="O81" s="88">
        <v>46206.67013888889</v>
      </c>
      <c r="P81" s="89" t="str">
        <f>IFERROR(__xludf.DUMMYFUNCTION("IFERROR(
  TEXT(
    DATE(
      INDEX(SPLIT(O81,"" ""),3),
      VLOOKUP(INDEX(SPLIT(O81,"" ""),1),{""jan."",1;""Feb"",2;""mar."",3;""Apr"",4;""May"",5;""jun."",6;""jul."",7;""Aug"",8;""sep"",9;""Oct"",10;""nov."",11;""Dec"",12},2,FALSE),
      INDEX(SPL"&amp;"IT(O81,"" ""),2)
    ),
    ""dd/mm/yyyy""
  ),
"""")"),"03/07/2026")</f>
        <v>03/07/2026</v>
      </c>
    </row>
    <row r="82">
      <c r="A82" s="85" t="s">
        <v>652</v>
      </c>
      <c r="B82" s="85" t="s">
        <v>653</v>
      </c>
      <c r="C82" s="86" t="s">
        <v>387</v>
      </c>
      <c r="D82" s="86" t="s">
        <v>388</v>
      </c>
      <c r="E82" s="87"/>
      <c r="F82" s="86" t="s">
        <v>94</v>
      </c>
      <c r="G82" s="86" t="s">
        <v>389</v>
      </c>
      <c r="H82" s="87"/>
      <c r="I82" s="87"/>
      <c r="J82" s="86" t="s">
        <v>389</v>
      </c>
      <c r="K82" s="86" t="s">
        <v>390</v>
      </c>
      <c r="L82" s="86" t="s">
        <v>391</v>
      </c>
      <c r="M82" s="86" t="s">
        <v>392</v>
      </c>
      <c r="N82" s="86" t="s">
        <v>654</v>
      </c>
      <c r="O82" s="88">
        <v>46216.532638888886</v>
      </c>
      <c r="P82" s="89" t="str">
        <f>IFERROR(__xludf.DUMMYFUNCTION("IFERROR(
  TEXT(
    DATE(
      INDEX(SPLIT(O82,"" ""),3),
      VLOOKUP(INDEX(SPLIT(O82,"" ""),1),{""jan."",1;""Feb"",2;""mar."",3;""Apr"",4;""May"",5;""jun."",6;""jul."",7;""Aug"",8;""sep"",9;""Oct"",10;""nov."",11;""Dec"",12},2,FALSE),
      INDEX(SPL"&amp;"IT(O82,"" ""),2)
    ),
    ""dd/mm/yyyy""
  ),
"""")"),"13/07/2026")</f>
        <v>13/07/2026</v>
      </c>
    </row>
    <row r="83">
      <c r="A83" s="85" t="s">
        <v>655</v>
      </c>
      <c r="B83" s="85" t="s">
        <v>656</v>
      </c>
      <c r="C83" s="86" t="s">
        <v>387</v>
      </c>
      <c r="D83" s="86" t="s">
        <v>388</v>
      </c>
      <c r="E83" s="87"/>
      <c r="F83" s="86" t="s">
        <v>71</v>
      </c>
      <c r="G83" s="86" t="s">
        <v>389</v>
      </c>
      <c r="H83" s="87"/>
      <c r="I83" s="87"/>
      <c r="J83" s="86" t="s">
        <v>389</v>
      </c>
      <c r="K83" s="86" t="s">
        <v>390</v>
      </c>
      <c r="L83" s="86" t="s">
        <v>391</v>
      </c>
      <c r="M83" s="86" t="s">
        <v>392</v>
      </c>
      <c r="N83" s="86" t="s">
        <v>657</v>
      </c>
      <c r="O83" s="88">
        <v>46217.35833333333</v>
      </c>
      <c r="P83" s="89" t="str">
        <f>IFERROR(__xludf.DUMMYFUNCTION("IFERROR(
  TEXT(
    DATE(
      INDEX(SPLIT(O83,"" ""),3),
      VLOOKUP(INDEX(SPLIT(O83,"" ""),1),{""jan."",1;""Feb"",2;""mar."",3;""Apr"",4;""May"",5;""jun."",6;""jul."",7;""Aug"",8;""sep"",9;""Oct"",10;""nov."",11;""Dec"",12},2,FALSE),
      INDEX(SPL"&amp;"IT(O83,"" ""),2)
    ),
    ""dd/mm/yyyy""
  ),
"""")"),"14/07/2026")</f>
        <v>14/07/2026</v>
      </c>
    </row>
    <row r="84">
      <c r="A84" s="85" t="s">
        <v>658</v>
      </c>
      <c r="B84" s="85" t="s">
        <v>659</v>
      </c>
      <c r="C84" s="86" t="s">
        <v>387</v>
      </c>
      <c r="D84" s="86" t="s">
        <v>388</v>
      </c>
      <c r="E84" s="87"/>
      <c r="F84" s="86" t="s">
        <v>94</v>
      </c>
      <c r="G84" s="86" t="s">
        <v>389</v>
      </c>
      <c r="H84" s="87"/>
      <c r="I84" s="87"/>
      <c r="J84" s="86" t="s">
        <v>389</v>
      </c>
      <c r="K84" s="86" t="s">
        <v>390</v>
      </c>
      <c r="L84" s="86" t="s">
        <v>391</v>
      </c>
      <c r="M84" s="86" t="s">
        <v>392</v>
      </c>
      <c r="N84" s="86" t="s">
        <v>660</v>
      </c>
      <c r="O84" s="88">
        <v>46202.90069444444</v>
      </c>
      <c r="P84" s="89" t="str">
        <f>IFERROR(__xludf.DUMMYFUNCTION("IFERROR(
  TEXT(
    DATE(
      INDEX(SPLIT(O84,"" ""),3),
      VLOOKUP(INDEX(SPLIT(O84,"" ""),1),{""jan."",1;""Feb"",2;""mar."",3;""Apr"",4;""May"",5;""jun."",6;""jul."",7;""Aug"",8;""sep"",9;""Oct"",10;""nov."",11;""Dec"",12},2,FALSE),
      INDEX(SPL"&amp;"IT(O84,"" ""),2)
    ),
    ""dd/mm/yyyy""
  ),
"""")"),"29/06/2026")</f>
        <v>29/06/2026</v>
      </c>
    </row>
    <row r="85">
      <c r="A85" s="85" t="s">
        <v>661</v>
      </c>
      <c r="B85" s="85" t="s">
        <v>662</v>
      </c>
      <c r="C85" s="86" t="s">
        <v>387</v>
      </c>
      <c r="D85" s="86" t="s">
        <v>388</v>
      </c>
      <c r="E85" s="87"/>
      <c r="F85" s="86" t="s">
        <v>103</v>
      </c>
      <c r="G85" s="86" t="s">
        <v>389</v>
      </c>
      <c r="H85" s="87"/>
      <c r="I85" s="87"/>
      <c r="J85" s="86" t="s">
        <v>389</v>
      </c>
      <c r="K85" s="86" t="s">
        <v>390</v>
      </c>
      <c r="L85" s="86" t="s">
        <v>391</v>
      </c>
      <c r="M85" s="86" t="s">
        <v>392</v>
      </c>
      <c r="N85" s="86" t="s">
        <v>663</v>
      </c>
      <c r="O85" s="88">
        <v>46210.71319444444</v>
      </c>
      <c r="P85" s="89" t="str">
        <f>IFERROR(__xludf.DUMMYFUNCTION("IFERROR(
  TEXT(
    DATE(
      INDEX(SPLIT(O85,"" ""),3),
      VLOOKUP(INDEX(SPLIT(O85,"" ""),1),{""jan."",1;""Feb"",2;""mar."",3;""Apr"",4;""May"",5;""jun."",6;""jul."",7;""Aug"",8;""sep"",9;""Oct"",10;""nov."",11;""Dec"",12},2,FALSE),
      INDEX(SPL"&amp;"IT(O85,"" ""),2)
    ),
    ""dd/mm/yyyy""
  ),
"""")"),"07/07/2026")</f>
        <v>07/07/2026</v>
      </c>
    </row>
    <row r="86">
      <c r="A86" s="85" t="s">
        <v>664</v>
      </c>
      <c r="B86" s="85" t="s">
        <v>665</v>
      </c>
      <c r="C86" s="90"/>
      <c r="D86" s="90"/>
      <c r="E86" s="87"/>
      <c r="F86" s="86" t="s">
        <v>103</v>
      </c>
      <c r="G86" s="86" t="s">
        <v>389</v>
      </c>
      <c r="H86" s="87"/>
      <c r="I86" s="87"/>
      <c r="J86" s="86" t="s">
        <v>389</v>
      </c>
      <c r="K86" s="86" t="s">
        <v>390</v>
      </c>
      <c r="L86" s="86" t="s">
        <v>391</v>
      </c>
      <c r="M86" s="86" t="s">
        <v>392</v>
      </c>
      <c r="N86" s="86" t="s">
        <v>666</v>
      </c>
      <c r="O86" s="88">
        <v>46215.96111111111</v>
      </c>
      <c r="P86" s="89" t="str">
        <f>IFERROR(__xludf.DUMMYFUNCTION("IFERROR(
  TEXT(
    DATE(
      INDEX(SPLIT(O86,"" ""),3),
      VLOOKUP(INDEX(SPLIT(O86,"" ""),1),{""jan."",1;""Feb"",2;""mar."",3;""Apr"",4;""May"",5;""jun."",6;""jul."",7;""Aug"",8;""sep"",9;""Oct"",10;""nov."",11;""Dec"",12},2,FALSE),
      INDEX(SPL"&amp;"IT(O86,"" ""),2)
    ),
    ""dd/mm/yyyy""
  ),
"""")"),"12/07/2026")</f>
        <v>12/07/2026</v>
      </c>
    </row>
    <row r="87">
      <c r="A87" s="85" t="s">
        <v>667</v>
      </c>
      <c r="B87" s="85" t="s">
        <v>668</v>
      </c>
      <c r="C87" s="90"/>
      <c r="D87" s="90"/>
      <c r="E87" s="87"/>
      <c r="F87" s="86" t="s">
        <v>86</v>
      </c>
      <c r="G87" s="86" t="s">
        <v>389</v>
      </c>
      <c r="H87" s="87"/>
      <c r="I87" s="87"/>
      <c r="J87" s="86" t="s">
        <v>389</v>
      </c>
      <c r="K87" s="86" t="s">
        <v>390</v>
      </c>
      <c r="L87" s="86" t="s">
        <v>391</v>
      </c>
      <c r="M87" s="86" t="s">
        <v>392</v>
      </c>
      <c r="N87" s="86" t="s">
        <v>669</v>
      </c>
      <c r="O87" s="86" t="s">
        <v>570</v>
      </c>
      <c r="P87" s="89" t="str">
        <f>IFERROR(__xludf.DUMMYFUNCTION("IFERROR(
  TEXT(
    DATE(
      INDEX(SPLIT(O87,"" ""),3),
      VLOOKUP(INDEX(SPLIT(O87,"" ""),1),{""jan."",1;""Feb"",2;""mar."",3;""Apr"",4;""May"",5;""jun."",6;""jul."",7;""Aug"",8;""sep"",9;""Oct"",10;""nov."",11;""Dec"",12},2,FALSE),
      INDEX(SPL"&amp;"IT(O87,"" ""),2)
    ),
    ""dd/mm/yyyy""
  ),
"""")"),"15/05/2026")</f>
        <v>15/05/2026</v>
      </c>
    </row>
    <row r="88">
      <c r="A88" s="85" t="s">
        <v>670</v>
      </c>
      <c r="B88" s="85" t="s">
        <v>671</v>
      </c>
      <c r="C88" s="90"/>
      <c r="D88" s="90"/>
      <c r="E88" s="87"/>
      <c r="F88" s="86" t="s">
        <v>103</v>
      </c>
      <c r="G88" s="86" t="s">
        <v>389</v>
      </c>
      <c r="H88" s="87"/>
      <c r="I88" s="87"/>
      <c r="J88" s="86" t="s">
        <v>389</v>
      </c>
      <c r="K88" s="86" t="s">
        <v>390</v>
      </c>
      <c r="L88" s="86" t="s">
        <v>391</v>
      </c>
      <c r="M88" s="86" t="s">
        <v>392</v>
      </c>
      <c r="N88" s="86" t="s">
        <v>672</v>
      </c>
      <c r="O88" s="88">
        <v>46216.52916666667</v>
      </c>
      <c r="P88" s="89" t="str">
        <f>IFERROR(__xludf.DUMMYFUNCTION("IFERROR(
  TEXT(
    DATE(
      INDEX(SPLIT(O88,"" ""),3),
      VLOOKUP(INDEX(SPLIT(O88,"" ""),1),{""jan."",1;""Feb"",2;""mar."",3;""Apr"",4;""May"",5;""jun."",6;""jul."",7;""Aug"",8;""sep"",9;""Oct"",10;""nov."",11;""Dec"",12},2,FALSE),
      INDEX(SPL"&amp;"IT(O88,"" ""),2)
    ),
    ""dd/mm/yyyy""
  ),
"""")"),"13/07/2026")</f>
        <v>13/07/2026</v>
      </c>
    </row>
    <row r="89">
      <c r="A89" s="85" t="s">
        <v>673</v>
      </c>
      <c r="B89" s="85" t="s">
        <v>674</v>
      </c>
      <c r="C89" s="90"/>
      <c r="D89" s="90"/>
      <c r="E89" s="87"/>
      <c r="F89" s="86" t="s">
        <v>94</v>
      </c>
      <c r="G89" s="86" t="s">
        <v>389</v>
      </c>
      <c r="H89" s="87"/>
      <c r="I89" s="87"/>
      <c r="J89" s="86" t="s">
        <v>389</v>
      </c>
      <c r="K89" s="86" t="s">
        <v>390</v>
      </c>
      <c r="L89" s="86" t="s">
        <v>391</v>
      </c>
      <c r="M89" s="86" t="s">
        <v>392</v>
      </c>
      <c r="N89" s="86" t="s">
        <v>675</v>
      </c>
      <c r="O89" s="88">
        <v>46206.70138888889</v>
      </c>
      <c r="P89" s="89" t="str">
        <f>IFERROR(__xludf.DUMMYFUNCTION("IFERROR(
  TEXT(
    DATE(
      INDEX(SPLIT(O89,"" ""),3),
      VLOOKUP(INDEX(SPLIT(O89,"" ""),1),{""jan."",1;""Feb"",2;""mar."",3;""Apr"",4;""May"",5;""jun."",6;""jul."",7;""Aug"",8;""sep"",9;""Oct"",10;""nov."",11;""Dec"",12},2,FALSE),
      INDEX(SPL"&amp;"IT(O89,"" ""),2)
    ),
    ""dd/mm/yyyy""
  ),
"""")"),"03/07/2026")</f>
        <v>03/07/2026</v>
      </c>
    </row>
    <row r="90">
      <c r="A90" s="85" t="s">
        <v>676</v>
      </c>
      <c r="B90" s="85" t="s">
        <v>677</v>
      </c>
      <c r="C90" s="90"/>
      <c r="D90" s="90"/>
      <c r="E90" s="87"/>
      <c r="F90" s="86" t="s">
        <v>103</v>
      </c>
      <c r="G90" s="86" t="s">
        <v>389</v>
      </c>
      <c r="H90" s="87"/>
      <c r="I90" s="87"/>
      <c r="J90" s="86" t="s">
        <v>389</v>
      </c>
      <c r="K90" s="86" t="s">
        <v>390</v>
      </c>
      <c r="L90" s="86" t="s">
        <v>391</v>
      </c>
      <c r="M90" s="86" t="s">
        <v>392</v>
      </c>
      <c r="N90" s="86" t="s">
        <v>678</v>
      </c>
      <c r="O90" s="88">
        <v>46175.61944444444</v>
      </c>
      <c r="P90" s="89" t="str">
        <f>IFERROR(__xludf.DUMMYFUNCTION("IFERROR(
  TEXT(
    DATE(
      INDEX(SPLIT(O90,"" ""),3),
      VLOOKUP(INDEX(SPLIT(O90,"" ""),1),{""jan."",1;""Feb"",2;""mar."",3;""Apr"",4;""May"",5;""jun."",6;""jul."",7;""Aug"",8;""sep"",9;""Oct"",10;""nov."",11;""Dec"",12},2,FALSE),
      INDEX(SPL"&amp;"IT(O90,"" ""),2)
    ),
    ""dd/mm/yyyy""
  ),
"""")"),"02/06/2026")</f>
        <v>02/06/2026</v>
      </c>
    </row>
    <row r="91">
      <c r="A91" s="85" t="s">
        <v>679</v>
      </c>
      <c r="B91" s="85" t="s">
        <v>680</v>
      </c>
      <c r="C91" s="90"/>
      <c r="D91" s="90"/>
      <c r="E91" s="87"/>
      <c r="F91" s="86" t="s">
        <v>71</v>
      </c>
      <c r="G91" s="86" t="s">
        <v>389</v>
      </c>
      <c r="H91" s="87"/>
      <c r="I91" s="87"/>
      <c r="J91" s="86" t="s">
        <v>389</v>
      </c>
      <c r="K91" s="86" t="s">
        <v>390</v>
      </c>
      <c r="L91" s="86" t="s">
        <v>391</v>
      </c>
      <c r="M91" s="86" t="s">
        <v>392</v>
      </c>
      <c r="N91" s="86" t="s">
        <v>681</v>
      </c>
      <c r="O91" s="88">
        <v>46199.731944444444</v>
      </c>
      <c r="P91" s="89" t="str">
        <f>IFERROR(__xludf.DUMMYFUNCTION("IFERROR(
  TEXT(
    DATE(
      INDEX(SPLIT(O91,"" ""),3),
      VLOOKUP(INDEX(SPLIT(O91,"" ""),1),{""jan."",1;""Feb"",2;""mar."",3;""Apr"",4;""May"",5;""jun."",6;""jul."",7;""Aug"",8;""sep"",9;""Oct"",10;""nov."",11;""Dec"",12},2,FALSE),
      INDEX(SPL"&amp;"IT(O91,"" ""),2)
    ),
    ""dd/mm/yyyy""
  ),
"""")"),"26/06/2026")</f>
        <v>26/06/2026</v>
      </c>
    </row>
    <row r="92">
      <c r="A92" s="85" t="s">
        <v>682</v>
      </c>
      <c r="B92" s="85" t="s">
        <v>683</v>
      </c>
      <c r="C92" s="90"/>
      <c r="D92" s="90"/>
      <c r="E92" s="87"/>
      <c r="F92" s="86" t="s">
        <v>131</v>
      </c>
      <c r="G92" s="86" t="s">
        <v>389</v>
      </c>
      <c r="H92" s="87"/>
      <c r="I92" s="87"/>
      <c r="J92" s="86" t="s">
        <v>389</v>
      </c>
      <c r="K92" s="86" t="s">
        <v>390</v>
      </c>
      <c r="L92" s="86" t="s">
        <v>391</v>
      </c>
      <c r="M92" s="86" t="s">
        <v>392</v>
      </c>
      <c r="N92" s="86" t="s">
        <v>684</v>
      </c>
      <c r="O92" s="88">
        <v>46209.825</v>
      </c>
      <c r="P92" s="89" t="str">
        <f>IFERROR(__xludf.DUMMYFUNCTION("IFERROR(
  TEXT(
    DATE(
      INDEX(SPLIT(O92,"" ""),3),
      VLOOKUP(INDEX(SPLIT(O92,"" ""),1),{""jan."",1;""Feb"",2;""mar."",3;""Apr"",4;""May"",5;""jun."",6;""jul."",7;""Aug"",8;""sep"",9;""Oct"",10;""nov."",11;""Dec"",12},2,FALSE),
      INDEX(SPL"&amp;"IT(O92,"" ""),2)
    ),
    ""dd/mm/yyyy""
  ),
"""")"),"06/07/2026")</f>
        <v>06/07/2026</v>
      </c>
    </row>
    <row r="93">
      <c r="A93" s="85" t="s">
        <v>685</v>
      </c>
      <c r="B93" s="85" t="s">
        <v>686</v>
      </c>
      <c r="C93" s="90"/>
      <c r="D93" s="90"/>
      <c r="E93" s="87"/>
      <c r="F93" s="86" t="s">
        <v>86</v>
      </c>
      <c r="G93" s="86" t="s">
        <v>389</v>
      </c>
      <c r="H93" s="87"/>
      <c r="I93" s="87"/>
      <c r="J93" s="86" t="s">
        <v>389</v>
      </c>
      <c r="K93" s="86" t="s">
        <v>390</v>
      </c>
      <c r="L93" s="86" t="s">
        <v>391</v>
      </c>
      <c r="M93" s="86" t="s">
        <v>392</v>
      </c>
      <c r="N93" s="86" t="s">
        <v>687</v>
      </c>
      <c r="O93" s="86" t="s">
        <v>688</v>
      </c>
      <c r="P93" s="89" t="str">
        <f>IFERROR(__xludf.DUMMYFUNCTION("IFERROR(
  TEXT(
    DATE(
      INDEX(SPLIT(O93,"" ""),3),
      VLOOKUP(INDEX(SPLIT(O93,"" ""),1),{""jan."",1;""Feb"",2;""mar."",3;""Apr"",4;""May"",5;""jun."",6;""jul."",7;""Aug"",8;""sep"",9;""Oct"",10;""nov."",11;""Dec"",12},2,FALSE),
      INDEX(SPL"&amp;"IT(O93,"" ""),2)
    ),
    ""dd/mm/yyyy""
  ),
"""")"),"18/05/2026")</f>
        <v>18/05/2026</v>
      </c>
    </row>
    <row r="94">
      <c r="A94" s="85" t="s">
        <v>689</v>
      </c>
      <c r="B94" s="85" t="s">
        <v>690</v>
      </c>
      <c r="C94" s="90"/>
      <c r="D94" s="90"/>
      <c r="E94" s="87"/>
      <c r="F94" s="86" t="s">
        <v>131</v>
      </c>
      <c r="G94" s="86" t="s">
        <v>389</v>
      </c>
      <c r="H94" s="87"/>
      <c r="I94" s="87"/>
      <c r="J94" s="86" t="s">
        <v>389</v>
      </c>
      <c r="K94" s="86" t="s">
        <v>390</v>
      </c>
      <c r="L94" s="86" t="s">
        <v>391</v>
      </c>
      <c r="M94" s="86" t="s">
        <v>392</v>
      </c>
      <c r="N94" s="86" t="s">
        <v>691</v>
      </c>
      <c r="O94" s="88">
        <v>46216.69930555556</v>
      </c>
      <c r="P94" s="89" t="str">
        <f>IFERROR(__xludf.DUMMYFUNCTION("IFERROR(
  TEXT(
    DATE(
      INDEX(SPLIT(O94,"" ""),3),
      VLOOKUP(INDEX(SPLIT(O94,"" ""),1),{""jan."",1;""Feb"",2;""mar."",3;""Apr"",4;""May"",5;""jun."",6;""jul."",7;""Aug"",8;""sep"",9;""Oct"",10;""nov."",11;""Dec"",12},2,FALSE),
      INDEX(SPL"&amp;"IT(O94,"" ""),2)
    ),
    ""dd/mm/yyyy""
  ),
"""")"),"13/07/2026")</f>
        <v>13/07/2026</v>
      </c>
    </row>
    <row r="95">
      <c r="A95" s="85" t="s">
        <v>692</v>
      </c>
      <c r="B95" s="85" t="s">
        <v>693</v>
      </c>
      <c r="C95" s="90"/>
      <c r="D95" s="90"/>
      <c r="E95" s="87"/>
      <c r="F95" s="86" t="s">
        <v>103</v>
      </c>
      <c r="G95" s="86" t="s">
        <v>389</v>
      </c>
      <c r="H95" s="87"/>
      <c r="I95" s="87"/>
      <c r="J95" s="86" t="s">
        <v>389</v>
      </c>
      <c r="K95" s="86" t="s">
        <v>390</v>
      </c>
      <c r="L95" s="86" t="s">
        <v>391</v>
      </c>
      <c r="M95" s="86" t="s">
        <v>392</v>
      </c>
      <c r="N95" s="86" t="s">
        <v>666</v>
      </c>
      <c r="O95" s="88">
        <v>46206.584027777775</v>
      </c>
      <c r="P95" s="89" t="str">
        <f>IFERROR(__xludf.DUMMYFUNCTION("IFERROR(
  TEXT(
    DATE(
      INDEX(SPLIT(O95,"" ""),3),
      VLOOKUP(INDEX(SPLIT(O95,"" ""),1),{""jan."",1;""Feb"",2;""mar."",3;""Apr"",4;""May"",5;""jun."",6;""jul."",7;""Aug"",8;""sep"",9;""Oct"",10;""nov."",11;""Dec"",12},2,FALSE),
      INDEX(SPL"&amp;"IT(O95,"" ""),2)
    ),
    ""dd/mm/yyyy""
  ),
"""")"),"03/07/2026")</f>
        <v>03/07/2026</v>
      </c>
    </row>
    <row r="96">
      <c r="A96" s="85" t="s">
        <v>694</v>
      </c>
      <c r="B96" s="85" t="s">
        <v>695</v>
      </c>
      <c r="C96" s="90"/>
      <c r="D96" s="90"/>
      <c r="E96" s="87"/>
      <c r="F96" s="86" t="s">
        <v>94</v>
      </c>
      <c r="G96" s="86" t="s">
        <v>389</v>
      </c>
      <c r="H96" s="87"/>
      <c r="I96" s="87"/>
      <c r="J96" s="86" t="s">
        <v>389</v>
      </c>
      <c r="K96" s="86" t="s">
        <v>390</v>
      </c>
      <c r="L96" s="86" t="s">
        <v>391</v>
      </c>
      <c r="M96" s="86" t="s">
        <v>392</v>
      </c>
      <c r="N96" s="86" t="s">
        <v>696</v>
      </c>
      <c r="O96" s="88">
        <v>46215.61944444444</v>
      </c>
      <c r="P96" s="89" t="str">
        <f>IFERROR(__xludf.DUMMYFUNCTION("IFERROR(
  TEXT(
    DATE(
      INDEX(SPLIT(O96,"" ""),3),
      VLOOKUP(INDEX(SPLIT(O96,"" ""),1),{""jan."",1;""Feb"",2;""mar."",3;""Apr"",4;""May"",5;""jun."",6;""jul."",7;""Aug"",8;""sep"",9;""Oct"",10;""nov."",11;""Dec"",12},2,FALSE),
      INDEX(SPL"&amp;"IT(O96,"" ""),2)
    ),
    ""dd/mm/yyyy""
  ),
"""")"),"12/07/2026")</f>
        <v>12/07/2026</v>
      </c>
    </row>
    <row r="97">
      <c r="A97" s="85" t="s">
        <v>697</v>
      </c>
      <c r="B97" s="85" t="s">
        <v>698</v>
      </c>
      <c r="C97" s="90"/>
      <c r="D97" s="90"/>
      <c r="E97" s="87"/>
      <c r="F97" s="86" t="s">
        <v>86</v>
      </c>
      <c r="G97" s="86" t="s">
        <v>389</v>
      </c>
      <c r="H97" s="87"/>
      <c r="I97" s="87"/>
      <c r="J97" s="86" t="s">
        <v>389</v>
      </c>
      <c r="K97" s="86" t="s">
        <v>390</v>
      </c>
      <c r="L97" s="86" t="s">
        <v>391</v>
      </c>
      <c r="M97" s="86" t="s">
        <v>392</v>
      </c>
      <c r="N97" s="86" t="s">
        <v>699</v>
      </c>
      <c r="O97" s="86" t="s">
        <v>570</v>
      </c>
      <c r="P97" s="89" t="str">
        <f>IFERROR(__xludf.DUMMYFUNCTION("IFERROR(
  TEXT(
    DATE(
      INDEX(SPLIT(O97,"" ""),3),
      VLOOKUP(INDEX(SPLIT(O97,"" ""),1),{""jan."",1;""Feb"",2;""mar."",3;""Apr"",4;""May"",5;""jun."",6;""jul."",7;""Aug"",8;""sep"",9;""Oct"",10;""nov."",11;""Dec"",12},2,FALSE),
      INDEX(SPL"&amp;"IT(O97,"" ""),2)
    ),
    ""dd/mm/yyyy""
  ),
"""")"),"15/05/2026")</f>
        <v>15/05/2026</v>
      </c>
    </row>
    <row r="98">
      <c r="A98" s="85" t="s">
        <v>700</v>
      </c>
      <c r="B98" s="85" t="s">
        <v>701</v>
      </c>
      <c r="C98" s="90"/>
      <c r="D98" s="90"/>
      <c r="E98" s="87"/>
      <c r="F98" s="86" t="s">
        <v>103</v>
      </c>
      <c r="G98" s="86" t="s">
        <v>389</v>
      </c>
      <c r="H98" s="87"/>
      <c r="I98" s="87"/>
      <c r="J98" s="86" t="s">
        <v>389</v>
      </c>
      <c r="K98" s="86" t="s">
        <v>390</v>
      </c>
      <c r="L98" s="86" t="s">
        <v>391</v>
      </c>
      <c r="M98" s="86" t="s">
        <v>392</v>
      </c>
      <c r="N98" s="86" t="s">
        <v>702</v>
      </c>
      <c r="O98" s="88">
        <v>46209.561111111114</v>
      </c>
      <c r="P98" s="89" t="str">
        <f>IFERROR(__xludf.DUMMYFUNCTION("IFERROR(
  TEXT(
    DATE(
      INDEX(SPLIT(O98,"" ""),3),
      VLOOKUP(INDEX(SPLIT(O98,"" ""),1),{""jan."",1;""Feb"",2;""mar."",3;""Apr"",4;""May"",5;""jun."",6;""jul."",7;""Aug"",8;""sep"",9;""Oct"",10;""nov."",11;""Dec"",12},2,FALSE),
      INDEX(SPL"&amp;"IT(O98,"" ""),2)
    ),
    ""dd/mm/yyyy""
  ),
"""")"),"06/07/2026")</f>
        <v>06/07/2026</v>
      </c>
    </row>
    <row r="99">
      <c r="A99" s="85" t="s">
        <v>703</v>
      </c>
      <c r="B99" s="85" t="s">
        <v>704</v>
      </c>
      <c r="C99" s="90"/>
      <c r="D99" s="90"/>
      <c r="E99" s="87"/>
      <c r="F99" s="86" t="s">
        <v>71</v>
      </c>
      <c r="G99" s="86" t="s">
        <v>389</v>
      </c>
      <c r="H99" s="87"/>
      <c r="I99" s="87"/>
      <c r="J99" s="86" t="s">
        <v>389</v>
      </c>
      <c r="K99" s="86" t="s">
        <v>390</v>
      </c>
      <c r="L99" s="86" t="s">
        <v>391</v>
      </c>
      <c r="M99" s="86" t="s">
        <v>392</v>
      </c>
      <c r="N99" s="86" t="s">
        <v>458</v>
      </c>
      <c r="O99" s="88">
        <v>46213.478472222225</v>
      </c>
      <c r="P99" s="89" t="str">
        <f>IFERROR(__xludf.DUMMYFUNCTION("IFERROR(
  TEXT(
    DATE(
      INDEX(SPLIT(O99,"" ""),3),
      VLOOKUP(INDEX(SPLIT(O99,"" ""),1),{""jan."",1;""Feb"",2;""mar."",3;""Apr"",4;""May"",5;""jun."",6;""jul."",7;""Aug"",8;""sep"",9;""Oct"",10;""nov."",11;""Dec"",12},2,FALSE),
      INDEX(SPL"&amp;"IT(O99,"" ""),2)
    ),
    ""dd/mm/yyyy""
  ),
"""")"),"10/07/2026")</f>
        <v>10/07/2026</v>
      </c>
    </row>
    <row r="100">
      <c r="A100" s="85" t="s">
        <v>705</v>
      </c>
      <c r="B100" s="85" t="s">
        <v>706</v>
      </c>
      <c r="C100" s="90"/>
      <c r="D100" s="90"/>
      <c r="E100" s="87"/>
      <c r="F100" s="86" t="s">
        <v>71</v>
      </c>
      <c r="G100" s="86" t="s">
        <v>389</v>
      </c>
      <c r="H100" s="87"/>
      <c r="I100" s="87"/>
      <c r="J100" s="86" t="s">
        <v>389</v>
      </c>
      <c r="K100" s="86" t="s">
        <v>390</v>
      </c>
      <c r="L100" s="86" t="s">
        <v>391</v>
      </c>
      <c r="M100" s="86" t="s">
        <v>392</v>
      </c>
      <c r="N100" s="86" t="s">
        <v>707</v>
      </c>
      <c r="O100" s="88">
        <v>46198.81597222222</v>
      </c>
      <c r="P100" s="89" t="str">
        <f>IFERROR(__xludf.DUMMYFUNCTION("IFERROR(
  TEXT(
    DATE(
      INDEX(SPLIT(O100,"" ""),3),
      VLOOKUP(INDEX(SPLIT(O100,"" ""),1),{""jan."",1;""Feb"",2;""mar."",3;""Apr"",4;""May"",5;""jun."",6;""jul."",7;""Aug"",8;""sep"",9;""Oct"",10;""nov."",11;""Dec"",12},2,FALSE),
      INDEX(S"&amp;"PLIT(O100,"" ""),2)
    ),
    ""dd/mm/yyyy""
  ),
"""")"),"25/06/2026")</f>
        <v>25/06/2026</v>
      </c>
    </row>
    <row r="101">
      <c r="A101" s="85" t="s">
        <v>708</v>
      </c>
      <c r="B101" s="85" t="s">
        <v>709</v>
      </c>
      <c r="C101" s="90"/>
      <c r="D101" s="90"/>
      <c r="E101" s="87"/>
      <c r="F101" s="86" t="s">
        <v>71</v>
      </c>
      <c r="G101" s="86" t="s">
        <v>389</v>
      </c>
      <c r="H101" s="87"/>
      <c r="I101" s="87"/>
      <c r="J101" s="86" t="s">
        <v>389</v>
      </c>
      <c r="K101" s="86" t="s">
        <v>390</v>
      </c>
      <c r="L101" s="86" t="s">
        <v>391</v>
      </c>
      <c r="M101" s="86" t="s">
        <v>392</v>
      </c>
      <c r="N101" s="86" t="s">
        <v>710</v>
      </c>
      <c r="O101" s="88">
        <v>46216.666666666664</v>
      </c>
      <c r="P101" s="89" t="str">
        <f>IFERROR(__xludf.DUMMYFUNCTION("IFERROR(
  TEXT(
    DATE(
      INDEX(SPLIT(O101,"" ""),3),
      VLOOKUP(INDEX(SPLIT(O101,"" ""),1),{""jan."",1;""Feb"",2;""mar."",3;""Apr"",4;""May"",5;""jun."",6;""jul."",7;""Aug"",8;""sep"",9;""Oct"",10;""nov."",11;""Dec"",12},2,FALSE),
      INDEX(S"&amp;"PLIT(O101,"" ""),2)
    ),
    ""dd/mm/yyyy""
  ),
"""")"),"13/07/2026")</f>
        <v>13/07/2026</v>
      </c>
    </row>
    <row r="102">
      <c r="A102" s="85" t="s">
        <v>711</v>
      </c>
      <c r="B102" s="85" t="s">
        <v>712</v>
      </c>
      <c r="C102" s="90"/>
      <c r="D102" s="90"/>
      <c r="E102" s="87"/>
      <c r="F102" s="86" t="s">
        <v>94</v>
      </c>
      <c r="G102" s="86" t="s">
        <v>389</v>
      </c>
      <c r="H102" s="87"/>
      <c r="I102" s="87"/>
      <c r="J102" s="86" t="s">
        <v>389</v>
      </c>
      <c r="K102" s="86" t="s">
        <v>390</v>
      </c>
      <c r="L102" s="86" t="s">
        <v>391</v>
      </c>
      <c r="M102" s="86" t="s">
        <v>392</v>
      </c>
      <c r="N102" s="86" t="s">
        <v>666</v>
      </c>
      <c r="O102" s="88">
        <v>46211.575694444444</v>
      </c>
      <c r="P102" s="89" t="str">
        <f>IFERROR(__xludf.DUMMYFUNCTION("IFERROR(
  TEXT(
    DATE(
      INDEX(SPLIT(O102,"" ""),3),
      VLOOKUP(INDEX(SPLIT(O102,"" ""),1),{""jan."",1;""Feb"",2;""mar."",3;""Apr"",4;""May"",5;""jun."",6;""jul."",7;""Aug"",8;""sep"",9;""Oct"",10;""nov."",11;""Dec"",12},2,FALSE),
      INDEX(S"&amp;"PLIT(O102,"" ""),2)
    ),
    ""dd/mm/yyyy""
  ),
"""")"),"08/07/2026")</f>
        <v>08/07/2026</v>
      </c>
    </row>
    <row r="103">
      <c r="A103" s="85" t="s">
        <v>713</v>
      </c>
      <c r="B103" s="85" t="s">
        <v>714</v>
      </c>
      <c r="C103" s="90"/>
      <c r="D103" s="90"/>
      <c r="E103" s="87"/>
      <c r="F103" s="86" t="s">
        <v>71</v>
      </c>
      <c r="G103" s="86" t="s">
        <v>389</v>
      </c>
      <c r="H103" s="87"/>
      <c r="I103" s="87"/>
      <c r="J103" s="86" t="s">
        <v>389</v>
      </c>
      <c r="K103" s="86" t="s">
        <v>390</v>
      </c>
      <c r="L103" s="86" t="s">
        <v>391</v>
      </c>
      <c r="M103" s="86" t="s">
        <v>392</v>
      </c>
      <c r="N103" s="86" t="s">
        <v>715</v>
      </c>
      <c r="O103" s="88">
        <v>46216.924305555556</v>
      </c>
      <c r="P103" s="89" t="str">
        <f>IFERROR(__xludf.DUMMYFUNCTION("IFERROR(
  TEXT(
    DATE(
      INDEX(SPLIT(O103,"" ""),3),
      VLOOKUP(INDEX(SPLIT(O103,"" ""),1),{""jan."",1;""Feb"",2;""mar."",3;""Apr"",4;""May"",5;""jun."",6;""jul."",7;""Aug"",8;""sep"",9;""Oct"",10;""nov."",11;""Dec"",12},2,FALSE),
      INDEX(S"&amp;"PLIT(O103,"" ""),2)
    ),
    ""dd/mm/yyyy""
  ),
"""")"),"13/07/2026")</f>
        <v>13/07/2026</v>
      </c>
    </row>
    <row r="104">
      <c r="A104" s="85" t="s">
        <v>716</v>
      </c>
      <c r="B104" s="85" t="s">
        <v>717</v>
      </c>
      <c r="C104" s="90"/>
      <c r="D104" s="90"/>
      <c r="E104" s="87"/>
      <c r="F104" s="86" t="s">
        <v>103</v>
      </c>
      <c r="G104" s="86" t="s">
        <v>389</v>
      </c>
      <c r="H104" s="87"/>
      <c r="I104" s="87"/>
      <c r="J104" s="86" t="s">
        <v>389</v>
      </c>
      <c r="K104" s="86" t="s">
        <v>390</v>
      </c>
      <c r="L104" s="86" t="s">
        <v>391</v>
      </c>
      <c r="M104" s="86" t="s">
        <v>392</v>
      </c>
      <c r="N104" s="86" t="s">
        <v>718</v>
      </c>
      <c r="O104" s="88">
        <v>46216.52916666667</v>
      </c>
      <c r="P104" s="89" t="str">
        <f>IFERROR(__xludf.DUMMYFUNCTION("IFERROR(
  TEXT(
    DATE(
      INDEX(SPLIT(O104,"" ""),3),
      VLOOKUP(INDEX(SPLIT(O104,"" ""),1),{""jan."",1;""Feb"",2;""mar."",3;""Apr"",4;""May"",5;""jun."",6;""jul."",7;""Aug"",8;""sep"",9;""Oct"",10;""nov."",11;""Dec"",12},2,FALSE),
      INDEX(S"&amp;"PLIT(O104,"" ""),2)
    ),
    ""dd/mm/yyyy""
  ),
"""")"),"13/07/2026")</f>
        <v>13/07/2026</v>
      </c>
    </row>
    <row r="105">
      <c r="A105" s="85" t="s">
        <v>719</v>
      </c>
      <c r="B105" s="85" t="s">
        <v>720</v>
      </c>
      <c r="C105" s="90"/>
      <c r="D105" s="90"/>
      <c r="E105" s="87"/>
      <c r="F105" s="86" t="s">
        <v>103</v>
      </c>
      <c r="G105" s="86" t="s">
        <v>389</v>
      </c>
      <c r="H105" s="87"/>
      <c r="I105" s="87"/>
      <c r="J105" s="86" t="s">
        <v>389</v>
      </c>
      <c r="K105" s="86" t="s">
        <v>390</v>
      </c>
      <c r="L105" s="86" t="s">
        <v>391</v>
      </c>
      <c r="M105" s="86" t="s">
        <v>392</v>
      </c>
      <c r="N105" s="86" t="s">
        <v>721</v>
      </c>
      <c r="O105" s="88">
        <v>46196.481944444444</v>
      </c>
      <c r="P105" s="89" t="str">
        <f>IFERROR(__xludf.DUMMYFUNCTION("IFERROR(
  TEXT(
    DATE(
      INDEX(SPLIT(O105,"" ""),3),
      VLOOKUP(INDEX(SPLIT(O105,"" ""),1),{""jan."",1;""Feb"",2;""mar."",3;""Apr"",4;""May"",5;""jun."",6;""jul."",7;""Aug"",8;""sep"",9;""Oct"",10;""nov."",11;""Dec"",12},2,FALSE),
      INDEX(S"&amp;"PLIT(O105,"" ""),2)
    ),
    ""dd/mm/yyyy""
  ),
"""")"),"23/06/2026")</f>
        <v>23/06/2026</v>
      </c>
    </row>
    <row r="106">
      <c r="A106" s="85" t="s">
        <v>722</v>
      </c>
      <c r="B106" s="85" t="s">
        <v>723</v>
      </c>
      <c r="C106" s="90"/>
      <c r="D106" s="90"/>
      <c r="E106" s="87"/>
      <c r="F106" s="86" t="s">
        <v>103</v>
      </c>
      <c r="G106" s="86" t="s">
        <v>389</v>
      </c>
      <c r="H106" s="87"/>
      <c r="I106" s="87"/>
      <c r="J106" s="86" t="s">
        <v>389</v>
      </c>
      <c r="K106" s="86" t="s">
        <v>390</v>
      </c>
      <c r="L106" s="86" t="s">
        <v>391</v>
      </c>
      <c r="M106" s="86" t="s">
        <v>392</v>
      </c>
      <c r="N106" s="86" t="s">
        <v>691</v>
      </c>
      <c r="O106" s="88">
        <v>46176.774305555555</v>
      </c>
      <c r="P106" s="89" t="str">
        <f>IFERROR(__xludf.DUMMYFUNCTION("IFERROR(
  TEXT(
    DATE(
      INDEX(SPLIT(O106,"" ""),3),
      VLOOKUP(INDEX(SPLIT(O106,"" ""),1),{""jan."",1;""Feb"",2;""mar."",3;""Apr"",4;""May"",5;""jun."",6;""jul."",7;""Aug"",8;""sep"",9;""Oct"",10;""nov."",11;""Dec"",12},2,FALSE),
      INDEX(S"&amp;"PLIT(O106,"" ""),2)
    ),
    ""dd/mm/yyyy""
  ),
"""")"),"03/06/2026")</f>
        <v>03/06/2026</v>
      </c>
    </row>
    <row r="107">
      <c r="A107" s="85" t="s">
        <v>724</v>
      </c>
      <c r="B107" s="85" t="s">
        <v>725</v>
      </c>
      <c r="C107" s="90"/>
      <c r="D107" s="90"/>
      <c r="E107" s="87"/>
      <c r="F107" s="86" t="s">
        <v>103</v>
      </c>
      <c r="G107" s="86" t="s">
        <v>389</v>
      </c>
      <c r="H107" s="87"/>
      <c r="I107" s="87"/>
      <c r="J107" s="86" t="s">
        <v>389</v>
      </c>
      <c r="K107" s="86" t="s">
        <v>390</v>
      </c>
      <c r="L107" s="86" t="s">
        <v>391</v>
      </c>
      <c r="M107" s="86" t="s">
        <v>392</v>
      </c>
      <c r="N107" s="86" t="s">
        <v>726</v>
      </c>
      <c r="O107" s="88">
        <v>46174.67013888889</v>
      </c>
      <c r="P107" s="89" t="str">
        <f>IFERROR(__xludf.DUMMYFUNCTION("IFERROR(
  TEXT(
    DATE(
      INDEX(SPLIT(O107,"" ""),3),
      VLOOKUP(INDEX(SPLIT(O107,"" ""),1),{""jan."",1;""Feb"",2;""mar."",3;""Apr"",4;""May"",5;""jun."",6;""jul."",7;""Aug"",8;""sep"",9;""Oct"",10;""nov."",11;""Dec"",12},2,FALSE),
      INDEX(S"&amp;"PLIT(O107,"" ""),2)
    ),
    ""dd/mm/yyyy""
  ),
"""")"),"01/06/2026")</f>
        <v>01/06/2026</v>
      </c>
    </row>
    <row r="108">
      <c r="A108" s="85" t="s">
        <v>727</v>
      </c>
      <c r="B108" s="85" t="s">
        <v>728</v>
      </c>
      <c r="C108" s="90"/>
      <c r="D108" s="90"/>
      <c r="E108" s="87"/>
      <c r="F108" s="86" t="s">
        <v>103</v>
      </c>
      <c r="G108" s="86" t="s">
        <v>389</v>
      </c>
      <c r="H108" s="87"/>
      <c r="I108" s="87"/>
      <c r="J108" s="86" t="s">
        <v>389</v>
      </c>
      <c r="K108" s="86" t="s">
        <v>390</v>
      </c>
      <c r="L108" s="86" t="s">
        <v>391</v>
      </c>
      <c r="M108" s="86" t="s">
        <v>392</v>
      </c>
      <c r="N108" s="86" t="s">
        <v>729</v>
      </c>
      <c r="O108" s="88">
        <v>46216.64861111111</v>
      </c>
      <c r="P108" s="89" t="str">
        <f>IFERROR(__xludf.DUMMYFUNCTION("IFERROR(
  TEXT(
    DATE(
      INDEX(SPLIT(O108,"" ""),3),
      VLOOKUP(INDEX(SPLIT(O108,"" ""),1),{""jan."",1;""Feb"",2;""mar."",3;""Apr"",4;""May"",5;""jun."",6;""jul."",7;""Aug"",8;""sep"",9;""Oct"",10;""nov."",11;""Dec"",12},2,FALSE),
      INDEX(S"&amp;"PLIT(O108,"" ""),2)
    ),
    ""dd/mm/yyyy""
  ),
"""")"),"13/07/2026")</f>
        <v>13/07/2026</v>
      </c>
    </row>
    <row r="109">
      <c r="A109" s="85" t="s">
        <v>730</v>
      </c>
      <c r="B109" s="85" t="s">
        <v>731</v>
      </c>
      <c r="C109" s="90"/>
      <c r="D109" s="90"/>
      <c r="E109" s="87"/>
      <c r="F109" s="86" t="s">
        <v>71</v>
      </c>
      <c r="G109" s="86" t="s">
        <v>389</v>
      </c>
      <c r="H109" s="87"/>
      <c r="I109" s="87"/>
      <c r="J109" s="86" t="s">
        <v>389</v>
      </c>
      <c r="K109" s="86" t="s">
        <v>390</v>
      </c>
      <c r="L109" s="86" t="s">
        <v>391</v>
      </c>
      <c r="M109" s="86" t="s">
        <v>392</v>
      </c>
      <c r="N109" s="86" t="s">
        <v>732</v>
      </c>
      <c r="O109" s="88">
        <v>46211.70138888889</v>
      </c>
      <c r="P109" s="89" t="str">
        <f>IFERROR(__xludf.DUMMYFUNCTION("IFERROR(
  TEXT(
    DATE(
      INDEX(SPLIT(O109,"" ""),3),
      VLOOKUP(INDEX(SPLIT(O109,"" ""),1),{""jan."",1;""Feb"",2;""mar."",3;""Apr"",4;""May"",5;""jun."",6;""jul."",7;""Aug"",8;""sep"",9;""Oct"",10;""nov."",11;""Dec"",12},2,FALSE),
      INDEX(S"&amp;"PLIT(O109,"" ""),2)
    ),
    ""dd/mm/yyyy""
  ),
"""")"),"08/07/2026")</f>
        <v>08/07/2026</v>
      </c>
    </row>
    <row r="110">
      <c r="A110" s="85" t="s">
        <v>733</v>
      </c>
      <c r="B110" s="85" t="s">
        <v>734</v>
      </c>
      <c r="C110" s="90"/>
      <c r="D110" s="90"/>
      <c r="E110" s="87"/>
      <c r="F110" s="86" t="s">
        <v>71</v>
      </c>
      <c r="G110" s="86" t="s">
        <v>389</v>
      </c>
      <c r="H110" s="87"/>
      <c r="I110" s="87"/>
      <c r="J110" s="86" t="s">
        <v>389</v>
      </c>
      <c r="K110" s="86" t="s">
        <v>390</v>
      </c>
      <c r="L110" s="86" t="s">
        <v>391</v>
      </c>
      <c r="M110" s="86" t="s">
        <v>392</v>
      </c>
      <c r="N110" s="86" t="s">
        <v>735</v>
      </c>
      <c r="O110" s="88">
        <v>46213.66388888889</v>
      </c>
      <c r="P110" s="89" t="str">
        <f>IFERROR(__xludf.DUMMYFUNCTION("IFERROR(
  TEXT(
    DATE(
      INDEX(SPLIT(O110,"" ""),3),
      VLOOKUP(INDEX(SPLIT(O110,"" ""),1),{""jan."",1;""Feb"",2;""mar."",3;""Apr"",4;""May"",5;""jun."",6;""jul."",7;""Aug"",8;""sep"",9;""Oct"",10;""nov."",11;""Dec"",12},2,FALSE),
      INDEX(S"&amp;"PLIT(O110,"" ""),2)
    ),
    ""dd/mm/yyyy""
  ),
"""")"),"10/07/2026")</f>
        <v>10/07/2026</v>
      </c>
    </row>
    <row r="111">
      <c r="A111" s="85" t="s">
        <v>736</v>
      </c>
      <c r="B111" s="85" t="s">
        <v>737</v>
      </c>
      <c r="C111" s="90"/>
      <c r="D111" s="90"/>
      <c r="E111" s="87"/>
      <c r="F111" s="86" t="s">
        <v>94</v>
      </c>
      <c r="G111" s="86" t="s">
        <v>389</v>
      </c>
      <c r="H111" s="87"/>
      <c r="I111" s="87"/>
      <c r="J111" s="86" t="s">
        <v>389</v>
      </c>
      <c r="K111" s="86" t="s">
        <v>390</v>
      </c>
      <c r="L111" s="86" t="s">
        <v>391</v>
      </c>
      <c r="M111" s="86" t="s">
        <v>392</v>
      </c>
      <c r="N111" s="86" t="s">
        <v>738</v>
      </c>
      <c r="O111" s="88">
        <v>46206.67013888889</v>
      </c>
      <c r="P111" s="89" t="str">
        <f>IFERROR(__xludf.DUMMYFUNCTION("IFERROR(
  TEXT(
    DATE(
      INDEX(SPLIT(O111,"" ""),3),
      VLOOKUP(INDEX(SPLIT(O111,"" ""),1),{""jan."",1;""Feb"",2;""mar."",3;""Apr"",4;""May"",5;""jun."",6;""jul."",7;""Aug"",8;""sep"",9;""Oct"",10;""nov."",11;""Dec"",12},2,FALSE),
      INDEX(S"&amp;"PLIT(O111,"" ""),2)
    ),
    ""dd/mm/yyyy""
  ),
"""")"),"03/07/2026")</f>
        <v>03/07/2026</v>
      </c>
    </row>
    <row r="112">
      <c r="A112" s="85" t="s">
        <v>739</v>
      </c>
      <c r="B112" s="85" t="s">
        <v>740</v>
      </c>
      <c r="C112" s="90"/>
      <c r="D112" s="90"/>
      <c r="E112" s="87"/>
      <c r="F112" s="86" t="s">
        <v>94</v>
      </c>
      <c r="G112" s="86" t="s">
        <v>389</v>
      </c>
      <c r="H112" s="87"/>
      <c r="I112" s="87"/>
      <c r="J112" s="86" t="s">
        <v>389</v>
      </c>
      <c r="K112" s="86" t="s">
        <v>390</v>
      </c>
      <c r="L112" s="86" t="s">
        <v>391</v>
      </c>
      <c r="M112" s="86" t="s">
        <v>392</v>
      </c>
      <c r="N112" s="86" t="s">
        <v>741</v>
      </c>
      <c r="O112" s="88">
        <v>46216.52916666667</v>
      </c>
      <c r="P112" s="89" t="str">
        <f>IFERROR(__xludf.DUMMYFUNCTION("IFERROR(
  TEXT(
    DATE(
      INDEX(SPLIT(O112,"" ""),3),
      VLOOKUP(INDEX(SPLIT(O112,"" ""),1),{""jan."",1;""Feb"",2;""mar."",3;""Apr"",4;""May"",5;""jun."",6;""jul."",7;""Aug"",8;""sep"",9;""Oct"",10;""nov."",11;""Dec"",12},2,FALSE),
      INDEX(S"&amp;"PLIT(O112,"" ""),2)
    ),
    ""dd/mm/yyyy""
  ),
"""")"),"13/07/2026")</f>
        <v>13/07/2026</v>
      </c>
    </row>
    <row r="113">
      <c r="A113" s="85" t="s">
        <v>742</v>
      </c>
      <c r="B113" s="85" t="s">
        <v>743</v>
      </c>
      <c r="C113" s="90"/>
      <c r="D113" s="90"/>
      <c r="E113" s="87"/>
      <c r="F113" s="86" t="s">
        <v>94</v>
      </c>
      <c r="G113" s="86" t="s">
        <v>389</v>
      </c>
      <c r="H113" s="87"/>
      <c r="I113" s="87"/>
      <c r="J113" s="86" t="s">
        <v>389</v>
      </c>
      <c r="K113" s="86" t="s">
        <v>390</v>
      </c>
      <c r="L113" s="86" t="s">
        <v>391</v>
      </c>
      <c r="M113" s="86" t="s">
        <v>392</v>
      </c>
      <c r="N113" s="86" t="s">
        <v>744</v>
      </c>
      <c r="O113" s="88">
        <v>46210.396527777775</v>
      </c>
      <c r="P113" s="89" t="str">
        <f>IFERROR(__xludf.DUMMYFUNCTION("IFERROR(
  TEXT(
    DATE(
      INDEX(SPLIT(O113,"" ""),3),
      VLOOKUP(INDEX(SPLIT(O113,"" ""),1),{""jan."",1;""Feb"",2;""mar."",3;""Apr"",4;""May"",5;""jun."",6;""jul."",7;""Aug"",8;""sep"",9;""Oct"",10;""nov."",11;""Dec"",12},2,FALSE),
      INDEX(S"&amp;"PLIT(O113,"" ""),2)
    ),
    ""dd/mm/yyyy""
  ),
"""")"),"07/07/2026")</f>
        <v>07/07/2026</v>
      </c>
    </row>
    <row r="114">
      <c r="A114" s="85" t="s">
        <v>745</v>
      </c>
      <c r="B114" s="85" t="s">
        <v>746</v>
      </c>
      <c r="C114" s="90"/>
      <c r="D114" s="90"/>
      <c r="E114" s="87"/>
      <c r="F114" s="86" t="s">
        <v>94</v>
      </c>
      <c r="G114" s="86" t="s">
        <v>389</v>
      </c>
      <c r="H114" s="87"/>
      <c r="I114" s="87"/>
      <c r="J114" s="86" t="s">
        <v>389</v>
      </c>
      <c r="K114" s="86" t="s">
        <v>390</v>
      </c>
      <c r="L114" s="86" t="s">
        <v>391</v>
      </c>
      <c r="M114" s="86" t="s">
        <v>392</v>
      </c>
      <c r="N114" s="86" t="s">
        <v>747</v>
      </c>
      <c r="O114" s="88">
        <v>46202.89375</v>
      </c>
      <c r="P114" s="89" t="str">
        <f>IFERROR(__xludf.DUMMYFUNCTION("IFERROR(
  TEXT(
    DATE(
      INDEX(SPLIT(O114,"" ""),3),
      VLOOKUP(INDEX(SPLIT(O114,"" ""),1),{""jan."",1;""Feb"",2;""mar."",3;""Apr"",4;""May"",5;""jun."",6;""jul."",7;""Aug"",8;""sep"",9;""Oct"",10;""nov."",11;""Dec"",12},2,FALSE),
      INDEX(S"&amp;"PLIT(O114,"" ""),2)
    ),
    ""dd/mm/yyyy""
  ),
"""")"),"29/06/2026")</f>
        <v>29/06/2026</v>
      </c>
    </row>
    <row r="115">
      <c r="A115" s="85" t="s">
        <v>748</v>
      </c>
      <c r="B115" s="85" t="s">
        <v>749</v>
      </c>
      <c r="C115" s="90"/>
      <c r="D115" s="90"/>
      <c r="E115" s="87"/>
      <c r="F115" s="86" t="s">
        <v>103</v>
      </c>
      <c r="G115" s="86" t="s">
        <v>389</v>
      </c>
      <c r="H115" s="87"/>
      <c r="I115" s="87"/>
      <c r="J115" s="86" t="s">
        <v>389</v>
      </c>
      <c r="K115" s="86" t="s">
        <v>390</v>
      </c>
      <c r="L115" s="86" t="s">
        <v>391</v>
      </c>
      <c r="M115" s="86" t="s">
        <v>392</v>
      </c>
      <c r="N115" s="86" t="s">
        <v>750</v>
      </c>
      <c r="O115" s="88">
        <v>46210.7125</v>
      </c>
      <c r="P115" s="89" t="str">
        <f>IFERROR(__xludf.DUMMYFUNCTION("IFERROR(
  TEXT(
    DATE(
      INDEX(SPLIT(O115,"" ""),3),
      VLOOKUP(INDEX(SPLIT(O115,"" ""),1),{""jan."",1;""Feb"",2;""mar."",3;""Apr"",4;""May"",5;""jun."",6;""jul."",7;""Aug"",8;""sep"",9;""Oct"",10;""nov."",11;""Dec"",12},2,FALSE),
      INDEX(S"&amp;"PLIT(O115,"" ""),2)
    ),
    ""dd/mm/yyyy""
  ),
"""")"),"07/07/2026")</f>
        <v>07/07/2026</v>
      </c>
    </row>
    <row r="116">
      <c r="A116" s="85" t="s">
        <v>751</v>
      </c>
      <c r="B116" s="85" t="s">
        <v>752</v>
      </c>
      <c r="C116" s="86" t="s">
        <v>387</v>
      </c>
      <c r="D116" s="86" t="s">
        <v>388</v>
      </c>
      <c r="E116" s="87"/>
      <c r="F116" s="86" t="s">
        <v>86</v>
      </c>
      <c r="G116" s="86" t="s">
        <v>389</v>
      </c>
      <c r="H116" s="87"/>
      <c r="I116" s="87"/>
      <c r="J116" s="86" t="s">
        <v>389</v>
      </c>
      <c r="K116" s="86" t="s">
        <v>390</v>
      </c>
      <c r="L116" s="86" t="s">
        <v>391</v>
      </c>
      <c r="M116" s="86" t="s">
        <v>392</v>
      </c>
      <c r="N116" s="86" t="s">
        <v>753</v>
      </c>
      <c r="O116" s="86" t="s">
        <v>754</v>
      </c>
      <c r="P116" s="89" t="str">
        <f>IFERROR(__xludf.DUMMYFUNCTION("IFERROR(
  TEXT(
    DATE(
      INDEX(SPLIT(O116,"" ""),3),
      VLOOKUP(INDEX(SPLIT(O116,"" ""),1),{""jan."",1;""Feb"",2;""mar."",3;""Apr"",4;""May"",5;""jun."",6;""jul."",7;""Aug"",8;""sep"",9;""Oct"",10;""nov."",11;""Dec"",12},2,FALSE),
      INDEX(S"&amp;"PLIT(O116,"" ""),2)
    ),
    ""dd/mm/yyyy""
  ),
"""")"),"20/05/2026")</f>
        <v>20/05/2026</v>
      </c>
    </row>
    <row r="117">
      <c r="A117" s="85" t="s">
        <v>755</v>
      </c>
      <c r="B117" s="85" t="s">
        <v>756</v>
      </c>
      <c r="C117" s="86" t="s">
        <v>387</v>
      </c>
      <c r="D117" s="86" t="s">
        <v>388</v>
      </c>
      <c r="E117" s="87"/>
      <c r="F117" s="86" t="s">
        <v>86</v>
      </c>
      <c r="G117" s="86" t="s">
        <v>389</v>
      </c>
      <c r="H117" s="87"/>
      <c r="I117" s="87"/>
      <c r="J117" s="86" t="s">
        <v>389</v>
      </c>
      <c r="K117" s="86" t="s">
        <v>390</v>
      </c>
      <c r="L117" s="86" t="s">
        <v>391</v>
      </c>
      <c r="M117" s="86" t="s">
        <v>392</v>
      </c>
      <c r="N117" s="86" t="s">
        <v>757</v>
      </c>
      <c r="O117" s="86" t="s">
        <v>758</v>
      </c>
      <c r="P117" s="89" t="str">
        <f>IFERROR(__xludf.DUMMYFUNCTION("IFERROR(
  TEXT(
    DATE(
      INDEX(SPLIT(O117,"" ""),3),
      VLOOKUP(INDEX(SPLIT(O117,"" ""),1),{""jan."",1;""Feb"",2;""mar."",3;""Apr"",4;""May"",5;""jun."",6;""jul."",7;""Aug"",8;""sep"",9;""Oct"",10;""nov."",11;""Dec"",12},2,FALSE),
      INDEX(S"&amp;"PLIT(O117,"" ""),2)
    ),
    ""dd/mm/yyyy""
  ),
"""")"),"20/05/2026")</f>
        <v>20/05/2026</v>
      </c>
    </row>
    <row r="118">
      <c r="A118" s="85" t="s">
        <v>759</v>
      </c>
      <c r="B118" s="85" t="s">
        <v>760</v>
      </c>
      <c r="C118" s="86" t="s">
        <v>387</v>
      </c>
      <c r="D118" s="86" t="s">
        <v>388</v>
      </c>
      <c r="E118" s="87"/>
      <c r="F118" s="86" t="s">
        <v>86</v>
      </c>
      <c r="G118" s="86" t="s">
        <v>389</v>
      </c>
      <c r="H118" s="87"/>
      <c r="I118" s="87"/>
      <c r="J118" s="86" t="s">
        <v>389</v>
      </c>
      <c r="K118" s="86" t="s">
        <v>390</v>
      </c>
      <c r="L118" s="86" t="s">
        <v>391</v>
      </c>
      <c r="M118" s="86" t="s">
        <v>392</v>
      </c>
      <c r="N118" s="86" t="s">
        <v>761</v>
      </c>
      <c r="O118" s="86" t="s">
        <v>762</v>
      </c>
      <c r="P118" s="89" t="str">
        <f>IFERROR(__xludf.DUMMYFUNCTION("IFERROR(
  TEXT(
    DATE(
      INDEX(SPLIT(O118,"" ""),3),
      VLOOKUP(INDEX(SPLIT(O118,"" ""),1),{""jan."",1;""Feb"",2;""mar."",3;""Apr"",4;""May"",5;""jun."",6;""jul."",7;""Aug"",8;""sep"",9;""Oct"",10;""nov."",11;""Dec"",12},2,FALSE),
      INDEX(S"&amp;"PLIT(O118,"" ""),2)
    ),
    ""dd/mm/yyyy""
  ),
"""")"),"20/05/2026")</f>
        <v>20/05/2026</v>
      </c>
    </row>
    <row r="119">
      <c r="A119" s="85" t="s">
        <v>763</v>
      </c>
      <c r="B119" s="85" t="s">
        <v>764</v>
      </c>
      <c r="C119" s="86" t="s">
        <v>387</v>
      </c>
      <c r="D119" s="86" t="s">
        <v>388</v>
      </c>
      <c r="E119" s="87"/>
      <c r="F119" s="86" t="s">
        <v>86</v>
      </c>
      <c r="G119" s="86" t="s">
        <v>389</v>
      </c>
      <c r="H119" s="87"/>
      <c r="I119" s="87"/>
      <c r="J119" s="86" t="s">
        <v>389</v>
      </c>
      <c r="K119" s="86" t="s">
        <v>390</v>
      </c>
      <c r="L119" s="86" t="s">
        <v>391</v>
      </c>
      <c r="M119" s="86" t="s">
        <v>392</v>
      </c>
      <c r="N119" s="86" t="s">
        <v>765</v>
      </c>
      <c r="O119" s="86" t="s">
        <v>766</v>
      </c>
      <c r="P119" s="89" t="str">
        <f>IFERROR(__xludf.DUMMYFUNCTION("IFERROR(
  TEXT(
    DATE(
      INDEX(SPLIT(O119,"" ""),3),
      VLOOKUP(INDEX(SPLIT(O119,"" ""),1),{""jan."",1;""Feb"",2;""mar."",3;""Apr"",4;""May"",5;""jun."",6;""jul."",7;""Aug"",8;""sep"",9;""Oct"",10;""nov."",11;""Dec"",12},2,FALSE),
      INDEX(S"&amp;"PLIT(O119,"" ""),2)
    ),
    ""dd/mm/yyyy""
  ),
"""")"),"20/05/2026")</f>
        <v>20/05/2026</v>
      </c>
    </row>
    <row r="120">
      <c r="A120" s="85" t="s">
        <v>767</v>
      </c>
      <c r="B120" s="85" t="s">
        <v>768</v>
      </c>
      <c r="C120" s="86" t="s">
        <v>387</v>
      </c>
      <c r="D120" s="86" t="s">
        <v>388</v>
      </c>
      <c r="E120" s="87"/>
      <c r="F120" s="86" t="s">
        <v>86</v>
      </c>
      <c r="G120" s="86" t="s">
        <v>389</v>
      </c>
      <c r="H120" s="87"/>
      <c r="I120" s="87"/>
      <c r="J120" s="86" t="s">
        <v>389</v>
      </c>
      <c r="K120" s="86" t="s">
        <v>390</v>
      </c>
      <c r="L120" s="86" t="s">
        <v>391</v>
      </c>
      <c r="M120" s="86" t="s">
        <v>392</v>
      </c>
      <c r="N120" s="86" t="s">
        <v>769</v>
      </c>
      <c r="O120" s="86" t="s">
        <v>770</v>
      </c>
      <c r="P120" s="89" t="str">
        <f>IFERROR(__xludf.DUMMYFUNCTION("IFERROR(
  TEXT(
    DATE(
      INDEX(SPLIT(O120,"" ""),3),
      VLOOKUP(INDEX(SPLIT(O120,"" ""),1),{""jan."",1;""Feb"",2;""mar."",3;""Apr"",4;""May"",5;""jun."",6;""jul."",7;""Aug"",8;""sep"",9;""Oct"",10;""nov."",11;""Dec"",12},2,FALSE),
      INDEX(S"&amp;"PLIT(O120,"" ""),2)
    ),
    ""dd/mm/yyyy""
  ),
"""")"),"20/05/2026")</f>
        <v>20/05/2026</v>
      </c>
    </row>
    <row r="121">
      <c r="A121" s="85" t="s">
        <v>771</v>
      </c>
      <c r="B121" s="85" t="s">
        <v>772</v>
      </c>
      <c r="C121" s="86" t="s">
        <v>387</v>
      </c>
      <c r="D121" s="86" t="s">
        <v>388</v>
      </c>
      <c r="E121" s="87"/>
      <c r="F121" s="86" t="s">
        <v>86</v>
      </c>
      <c r="G121" s="86" t="s">
        <v>389</v>
      </c>
      <c r="H121" s="87"/>
      <c r="I121" s="87"/>
      <c r="J121" s="86" t="s">
        <v>389</v>
      </c>
      <c r="K121" s="86" t="s">
        <v>390</v>
      </c>
      <c r="L121" s="86" t="s">
        <v>391</v>
      </c>
      <c r="M121" s="86" t="s">
        <v>392</v>
      </c>
      <c r="N121" s="86" t="s">
        <v>773</v>
      </c>
      <c r="O121" s="86" t="s">
        <v>774</v>
      </c>
      <c r="P121" s="89" t="str">
        <f>IFERROR(__xludf.DUMMYFUNCTION("IFERROR(
  TEXT(
    DATE(
      INDEX(SPLIT(O121,"" ""),3),
      VLOOKUP(INDEX(SPLIT(O121,"" ""),1),{""jan."",1;""Feb"",2;""mar."",3;""Apr"",4;""May"",5;""jun."",6;""jul."",7;""Aug"",8;""sep"",9;""Oct"",10;""nov."",11;""Dec"",12},2,FALSE),
      INDEX(S"&amp;"PLIT(O121,"" ""),2)
    ),
    ""dd/mm/yyyy""
  ),
"""")"),"20/05/2026")</f>
        <v>20/05/2026</v>
      </c>
    </row>
    <row r="122">
      <c r="A122" s="85" t="s">
        <v>775</v>
      </c>
      <c r="B122" s="85" t="s">
        <v>776</v>
      </c>
      <c r="C122" s="86" t="s">
        <v>387</v>
      </c>
      <c r="D122" s="86" t="s">
        <v>388</v>
      </c>
      <c r="E122" s="87"/>
      <c r="F122" s="86" t="s">
        <v>86</v>
      </c>
      <c r="G122" s="86" t="s">
        <v>389</v>
      </c>
      <c r="H122" s="87"/>
      <c r="I122" s="87"/>
      <c r="J122" s="86" t="s">
        <v>389</v>
      </c>
      <c r="K122" s="86" t="s">
        <v>390</v>
      </c>
      <c r="L122" s="86" t="s">
        <v>391</v>
      </c>
      <c r="M122" s="86" t="s">
        <v>392</v>
      </c>
      <c r="N122" s="86" t="s">
        <v>777</v>
      </c>
      <c r="O122" s="86" t="s">
        <v>778</v>
      </c>
      <c r="P122" s="89" t="str">
        <f>IFERROR(__xludf.DUMMYFUNCTION("IFERROR(
  TEXT(
    DATE(
      INDEX(SPLIT(O122,"" ""),3),
      VLOOKUP(INDEX(SPLIT(O122,"" ""),1),{""jan."",1;""Feb"",2;""mar."",3;""Apr"",4;""May"",5;""jun."",6;""jul."",7;""Aug"",8;""sep"",9;""Oct"",10;""nov."",11;""Dec"",12},2,FALSE),
      INDEX(S"&amp;"PLIT(O122,"" ""),2)
    ),
    ""dd/mm/yyyy""
  ),
"""")"),"20/05/2026")</f>
        <v>20/05/2026</v>
      </c>
    </row>
    <row r="123">
      <c r="A123" s="85" t="s">
        <v>779</v>
      </c>
      <c r="B123" s="85" t="s">
        <v>780</v>
      </c>
      <c r="C123" s="86" t="s">
        <v>387</v>
      </c>
      <c r="D123" s="86" t="s">
        <v>388</v>
      </c>
      <c r="E123" s="87"/>
      <c r="F123" s="86" t="s">
        <v>86</v>
      </c>
      <c r="G123" s="86" t="s">
        <v>389</v>
      </c>
      <c r="H123" s="87"/>
      <c r="I123" s="87"/>
      <c r="J123" s="86" t="s">
        <v>389</v>
      </c>
      <c r="K123" s="86" t="s">
        <v>390</v>
      </c>
      <c r="L123" s="86" t="s">
        <v>391</v>
      </c>
      <c r="M123" s="86" t="s">
        <v>392</v>
      </c>
      <c r="N123" s="86" t="s">
        <v>781</v>
      </c>
      <c r="O123" s="86" t="s">
        <v>782</v>
      </c>
      <c r="P123" s="89" t="str">
        <f>IFERROR(__xludf.DUMMYFUNCTION("IFERROR(
  TEXT(
    DATE(
      INDEX(SPLIT(O123,"" ""),3),
      VLOOKUP(INDEX(SPLIT(O123,"" ""),1),{""jan."",1;""Feb"",2;""mar."",3;""Apr"",4;""May"",5;""jun."",6;""jul."",7;""Aug"",8;""sep"",9;""Oct"",10;""nov."",11;""Dec"",12},2,FALSE),
      INDEX(S"&amp;"PLIT(O123,"" ""),2)
    ),
    ""dd/mm/yyyy""
  ),
"""")"),"20/05/2026")</f>
        <v>20/05/2026</v>
      </c>
    </row>
    <row r="124">
      <c r="A124" s="85" t="s">
        <v>783</v>
      </c>
      <c r="B124" s="85" t="s">
        <v>784</v>
      </c>
      <c r="C124" s="86" t="s">
        <v>387</v>
      </c>
      <c r="D124" s="86" t="s">
        <v>388</v>
      </c>
      <c r="E124" s="87"/>
      <c r="F124" s="86" t="s">
        <v>86</v>
      </c>
      <c r="G124" s="86" t="s">
        <v>389</v>
      </c>
      <c r="H124" s="87"/>
      <c r="I124" s="87"/>
      <c r="J124" s="86" t="s">
        <v>389</v>
      </c>
      <c r="K124" s="86" t="s">
        <v>390</v>
      </c>
      <c r="L124" s="86" t="s">
        <v>391</v>
      </c>
      <c r="M124" s="86" t="s">
        <v>392</v>
      </c>
      <c r="N124" s="86" t="s">
        <v>785</v>
      </c>
      <c r="O124" s="86" t="s">
        <v>786</v>
      </c>
      <c r="P124" s="89" t="str">
        <f>IFERROR(__xludf.DUMMYFUNCTION("IFERROR(
  TEXT(
    DATE(
      INDEX(SPLIT(O124,"" ""),3),
      VLOOKUP(INDEX(SPLIT(O124,"" ""),1),{""jan."",1;""Feb"",2;""mar."",3;""Apr"",4;""May"",5;""jun."",6;""jul."",7;""Aug"",8;""sep"",9;""Oct"",10;""nov."",11;""Dec"",12},2,FALSE),
      INDEX(S"&amp;"PLIT(O124,"" ""),2)
    ),
    ""dd/mm/yyyy""
  ),
"""")"),"20/05/2026")</f>
        <v>20/05/2026</v>
      </c>
    </row>
    <row r="125">
      <c r="A125" s="85" t="s">
        <v>787</v>
      </c>
      <c r="B125" s="85" t="s">
        <v>788</v>
      </c>
      <c r="C125" s="90"/>
      <c r="D125" s="90"/>
      <c r="E125" s="87"/>
      <c r="F125" s="86" t="s">
        <v>86</v>
      </c>
      <c r="G125" s="86" t="s">
        <v>389</v>
      </c>
      <c r="H125" s="87"/>
      <c r="I125" s="87"/>
      <c r="J125" s="86" t="s">
        <v>389</v>
      </c>
      <c r="K125" s="86" t="s">
        <v>789</v>
      </c>
      <c r="L125" s="86" t="s">
        <v>389</v>
      </c>
      <c r="M125" s="86" t="s">
        <v>389</v>
      </c>
      <c r="N125" s="86" t="s">
        <v>790</v>
      </c>
      <c r="O125" s="86" t="s">
        <v>791</v>
      </c>
      <c r="P125" s="89" t="str">
        <f>IFERROR(__xludf.DUMMYFUNCTION("IFERROR(
  TEXT(
    DATE(
      INDEX(SPLIT(O125,"" ""),3),
      VLOOKUP(INDEX(SPLIT(O125,"" ""),1),{""jan."",1;""Feb"",2;""mar."",3;""Apr"",4;""May"",5;""jun."",6;""jul."",7;""Aug"",8;""sep"",9;""Oct"",10;""nov."",11;""Dec"",12},2,FALSE),
      INDEX(S"&amp;"PLIT(O125,"" ""),2)
    ),
    ""dd/mm/yyyy""
  ),
"""")"),"21/05/2026")</f>
        <v>21/05/2026</v>
      </c>
    </row>
    <row r="126">
      <c r="A126" s="85" t="s">
        <v>792</v>
      </c>
      <c r="B126" s="85" t="s">
        <v>793</v>
      </c>
      <c r="C126" s="90"/>
      <c r="D126" s="90"/>
      <c r="E126" s="87"/>
      <c r="F126" s="86" t="s">
        <v>86</v>
      </c>
      <c r="G126" s="86" t="s">
        <v>389</v>
      </c>
      <c r="H126" s="87"/>
      <c r="I126" s="87"/>
      <c r="J126" s="86" t="s">
        <v>389</v>
      </c>
      <c r="K126" s="86" t="s">
        <v>789</v>
      </c>
      <c r="L126" s="86" t="s">
        <v>391</v>
      </c>
      <c r="M126" s="86" t="s">
        <v>392</v>
      </c>
      <c r="N126" s="86" t="s">
        <v>794</v>
      </c>
      <c r="O126" s="86" t="s">
        <v>791</v>
      </c>
      <c r="P126" s="89" t="str">
        <f>IFERROR(__xludf.DUMMYFUNCTION("IFERROR(
  TEXT(
    DATE(
      INDEX(SPLIT(O126,"" ""),3),
      VLOOKUP(INDEX(SPLIT(O126,"" ""),1),{""jan."",1;""Feb"",2;""mar."",3;""Apr"",4;""May"",5;""jun."",6;""jul."",7;""Aug"",8;""sep"",9;""Oct"",10;""nov."",11;""Dec"",12},2,FALSE),
      INDEX(S"&amp;"PLIT(O126,"" ""),2)
    ),
    ""dd/mm/yyyy""
  ),
"""")"),"21/05/2026")</f>
        <v>21/05/2026</v>
      </c>
    </row>
    <row r="127">
      <c r="A127" s="85" t="s">
        <v>795</v>
      </c>
      <c r="B127" s="85" t="s">
        <v>796</v>
      </c>
      <c r="C127" s="90"/>
      <c r="D127" s="90"/>
      <c r="E127" s="87"/>
      <c r="F127" s="86" t="s">
        <v>86</v>
      </c>
      <c r="G127" s="86" t="s">
        <v>389</v>
      </c>
      <c r="H127" s="87"/>
      <c r="I127" s="87"/>
      <c r="J127" s="86" t="s">
        <v>389</v>
      </c>
      <c r="K127" s="86" t="s">
        <v>789</v>
      </c>
      <c r="L127" s="86" t="s">
        <v>391</v>
      </c>
      <c r="M127" s="86" t="s">
        <v>392</v>
      </c>
      <c r="N127" s="86" t="s">
        <v>797</v>
      </c>
      <c r="O127" s="86" t="s">
        <v>791</v>
      </c>
      <c r="P127" s="89" t="str">
        <f>IFERROR(__xludf.DUMMYFUNCTION("IFERROR(
  TEXT(
    DATE(
      INDEX(SPLIT(O127,"" ""),3),
      VLOOKUP(INDEX(SPLIT(O127,"" ""),1),{""jan."",1;""Feb"",2;""mar."",3;""Apr"",4;""May"",5;""jun."",6;""jul."",7;""Aug"",8;""sep"",9;""Oct"",10;""nov."",11;""Dec"",12},2,FALSE),
      INDEX(S"&amp;"PLIT(O127,"" ""),2)
    ),
    ""dd/mm/yyyy""
  ),
"""")"),"21/05/2026")</f>
        <v>21/05/2026</v>
      </c>
    </row>
    <row r="128">
      <c r="A128" s="85" t="s">
        <v>798</v>
      </c>
      <c r="B128" s="85" t="s">
        <v>799</v>
      </c>
      <c r="C128" s="90"/>
      <c r="D128" s="90"/>
      <c r="E128" s="87"/>
      <c r="F128" s="86" t="s">
        <v>86</v>
      </c>
      <c r="G128" s="86" t="s">
        <v>389</v>
      </c>
      <c r="H128" s="87"/>
      <c r="I128" s="87"/>
      <c r="J128" s="86" t="s">
        <v>389</v>
      </c>
      <c r="K128" s="86" t="s">
        <v>789</v>
      </c>
      <c r="L128" s="86" t="s">
        <v>391</v>
      </c>
      <c r="M128" s="86" t="s">
        <v>392</v>
      </c>
      <c r="N128" s="86" t="s">
        <v>800</v>
      </c>
      <c r="O128" s="86" t="s">
        <v>791</v>
      </c>
      <c r="P128" s="89" t="str">
        <f>IFERROR(__xludf.DUMMYFUNCTION("IFERROR(
  TEXT(
    DATE(
      INDEX(SPLIT(O128,"" ""),3),
      VLOOKUP(INDEX(SPLIT(O128,"" ""),1),{""jan."",1;""Feb"",2;""mar."",3;""Apr"",4;""May"",5;""jun."",6;""jul."",7;""Aug"",8;""sep"",9;""Oct"",10;""nov."",11;""Dec"",12},2,FALSE),
      INDEX(S"&amp;"PLIT(O128,"" ""),2)
    ),
    ""dd/mm/yyyy""
  ),
"""")"),"21/05/2026")</f>
        <v>21/05/2026</v>
      </c>
    </row>
    <row r="129">
      <c r="A129" s="85" t="s">
        <v>801</v>
      </c>
      <c r="B129" s="85" t="s">
        <v>802</v>
      </c>
      <c r="C129" s="90"/>
      <c r="D129" s="90"/>
      <c r="E129" s="87"/>
      <c r="F129" s="86" t="s">
        <v>86</v>
      </c>
      <c r="G129" s="86" t="s">
        <v>389</v>
      </c>
      <c r="H129" s="87"/>
      <c r="I129" s="87"/>
      <c r="J129" s="86" t="s">
        <v>389</v>
      </c>
      <c r="K129" s="86" t="s">
        <v>789</v>
      </c>
      <c r="L129" s="86" t="s">
        <v>391</v>
      </c>
      <c r="M129" s="86" t="s">
        <v>392</v>
      </c>
      <c r="N129" s="86" t="s">
        <v>803</v>
      </c>
      <c r="O129" s="86" t="s">
        <v>791</v>
      </c>
      <c r="P129" s="89" t="str">
        <f>IFERROR(__xludf.DUMMYFUNCTION("IFERROR(
  TEXT(
    DATE(
      INDEX(SPLIT(O129,"" ""),3),
      VLOOKUP(INDEX(SPLIT(O129,"" ""),1),{""jan."",1;""Feb"",2;""mar."",3;""Apr"",4;""May"",5;""jun."",6;""jul."",7;""Aug"",8;""sep"",9;""Oct"",10;""nov."",11;""Dec"",12},2,FALSE),
      INDEX(S"&amp;"PLIT(O129,"" ""),2)
    ),
    ""dd/mm/yyyy""
  ),
"""")"),"21/05/2026")</f>
        <v>21/05/2026</v>
      </c>
    </row>
    <row r="130">
      <c r="A130" s="85" t="s">
        <v>804</v>
      </c>
      <c r="B130" s="85" t="s">
        <v>805</v>
      </c>
      <c r="C130" s="90"/>
      <c r="D130" s="90"/>
      <c r="E130" s="87"/>
      <c r="F130" s="86" t="s">
        <v>86</v>
      </c>
      <c r="G130" s="86" t="s">
        <v>389</v>
      </c>
      <c r="H130" s="87"/>
      <c r="I130" s="87"/>
      <c r="J130" s="86" t="s">
        <v>389</v>
      </c>
      <c r="K130" s="86" t="s">
        <v>789</v>
      </c>
      <c r="L130" s="86" t="s">
        <v>391</v>
      </c>
      <c r="M130" s="86" t="s">
        <v>392</v>
      </c>
      <c r="N130" s="86" t="s">
        <v>806</v>
      </c>
      <c r="O130" s="86" t="s">
        <v>791</v>
      </c>
      <c r="P130" s="89" t="str">
        <f>IFERROR(__xludf.DUMMYFUNCTION("IFERROR(
  TEXT(
    DATE(
      INDEX(SPLIT(O130,"" ""),3),
      VLOOKUP(INDEX(SPLIT(O130,"" ""),1),{""jan."",1;""Feb"",2;""mar."",3;""Apr"",4;""May"",5;""jun."",6;""jul."",7;""Aug"",8;""sep"",9;""Oct"",10;""nov."",11;""Dec"",12},2,FALSE),
      INDEX(S"&amp;"PLIT(O130,"" ""),2)
    ),
    ""dd/mm/yyyy""
  ),
"""")"),"21/05/2026")</f>
        <v>21/05/2026</v>
      </c>
    </row>
    <row r="131">
      <c r="A131" s="85" t="s">
        <v>807</v>
      </c>
      <c r="B131" s="85" t="s">
        <v>808</v>
      </c>
      <c r="C131" s="90"/>
      <c r="D131" s="90"/>
      <c r="E131" s="87"/>
      <c r="F131" s="86" t="s">
        <v>86</v>
      </c>
      <c r="G131" s="86" t="s">
        <v>389</v>
      </c>
      <c r="H131" s="87"/>
      <c r="I131" s="87"/>
      <c r="J131" s="86" t="s">
        <v>389</v>
      </c>
      <c r="K131" s="86" t="s">
        <v>789</v>
      </c>
      <c r="L131" s="86" t="s">
        <v>391</v>
      </c>
      <c r="M131" s="86" t="s">
        <v>392</v>
      </c>
      <c r="N131" s="86" t="s">
        <v>614</v>
      </c>
      <c r="O131" s="86" t="s">
        <v>791</v>
      </c>
      <c r="P131" s="89" t="str">
        <f>IFERROR(__xludf.DUMMYFUNCTION("IFERROR(
  TEXT(
    DATE(
      INDEX(SPLIT(O131,"" ""),3),
      VLOOKUP(INDEX(SPLIT(O131,"" ""),1),{""jan."",1;""Feb"",2;""mar."",3;""Apr"",4;""May"",5;""jun."",6;""jul."",7;""Aug"",8;""sep"",9;""Oct"",10;""nov."",11;""Dec"",12},2,FALSE),
      INDEX(S"&amp;"PLIT(O131,"" ""),2)
    ),
    ""dd/mm/yyyy""
  ),
"""")"),"21/05/2026")</f>
        <v>21/05/2026</v>
      </c>
    </row>
    <row r="132">
      <c r="A132" s="85" t="s">
        <v>809</v>
      </c>
      <c r="B132" s="85" t="s">
        <v>810</v>
      </c>
      <c r="C132" s="90"/>
      <c r="D132" s="90"/>
      <c r="E132" s="87"/>
      <c r="F132" s="86" t="s">
        <v>86</v>
      </c>
      <c r="G132" s="86" t="s">
        <v>389</v>
      </c>
      <c r="H132" s="87"/>
      <c r="I132" s="87"/>
      <c r="J132" s="86" t="s">
        <v>389</v>
      </c>
      <c r="K132" s="86" t="s">
        <v>789</v>
      </c>
      <c r="L132" s="86" t="s">
        <v>391</v>
      </c>
      <c r="M132" s="86" t="s">
        <v>392</v>
      </c>
      <c r="N132" s="86" t="s">
        <v>811</v>
      </c>
      <c r="O132" s="86" t="s">
        <v>791</v>
      </c>
      <c r="P132" s="89" t="str">
        <f>IFERROR(__xludf.DUMMYFUNCTION("IFERROR(
  TEXT(
    DATE(
      INDEX(SPLIT(O132,"" ""),3),
      VLOOKUP(INDEX(SPLIT(O132,"" ""),1),{""jan."",1;""Feb"",2;""mar."",3;""Apr"",4;""May"",5;""jun."",6;""jul."",7;""Aug"",8;""sep"",9;""Oct"",10;""nov."",11;""Dec"",12},2,FALSE),
      INDEX(S"&amp;"PLIT(O132,"" ""),2)
    ),
    ""dd/mm/yyyy""
  ),
"""")"),"21/05/2026")</f>
        <v>21/05/2026</v>
      </c>
    </row>
    <row r="133">
      <c r="A133" s="85" t="s">
        <v>812</v>
      </c>
      <c r="B133" s="85" t="s">
        <v>813</v>
      </c>
      <c r="C133" s="90"/>
      <c r="D133" s="90"/>
      <c r="E133" s="87"/>
      <c r="F133" s="86" t="s">
        <v>86</v>
      </c>
      <c r="G133" s="86" t="s">
        <v>389</v>
      </c>
      <c r="H133" s="87"/>
      <c r="I133" s="87"/>
      <c r="J133" s="86" t="s">
        <v>389</v>
      </c>
      <c r="K133" s="86" t="s">
        <v>789</v>
      </c>
      <c r="L133" s="86" t="s">
        <v>391</v>
      </c>
      <c r="M133" s="86" t="s">
        <v>392</v>
      </c>
      <c r="N133" s="86" t="s">
        <v>814</v>
      </c>
      <c r="O133" s="86" t="s">
        <v>791</v>
      </c>
      <c r="P133" s="89" t="str">
        <f>IFERROR(__xludf.DUMMYFUNCTION("IFERROR(
  TEXT(
    DATE(
      INDEX(SPLIT(O133,"" ""),3),
      VLOOKUP(INDEX(SPLIT(O133,"" ""),1),{""jan."",1;""Feb"",2;""mar."",3;""Apr"",4;""May"",5;""jun."",6;""jul."",7;""Aug"",8;""sep"",9;""Oct"",10;""nov."",11;""Dec"",12},2,FALSE),
      INDEX(S"&amp;"PLIT(O133,"" ""),2)
    ),
    ""dd/mm/yyyy""
  ),
"""")"),"21/05/2026")</f>
        <v>21/05/2026</v>
      </c>
    </row>
    <row r="134">
      <c r="A134" s="85" t="s">
        <v>815</v>
      </c>
      <c r="B134" s="85" t="s">
        <v>816</v>
      </c>
      <c r="C134" s="90"/>
      <c r="D134" s="90"/>
      <c r="E134" s="87"/>
      <c r="F134" s="86" t="s">
        <v>86</v>
      </c>
      <c r="G134" s="86" t="s">
        <v>389</v>
      </c>
      <c r="H134" s="87"/>
      <c r="I134" s="87"/>
      <c r="J134" s="86" t="s">
        <v>389</v>
      </c>
      <c r="K134" s="86" t="s">
        <v>789</v>
      </c>
      <c r="L134" s="86" t="s">
        <v>391</v>
      </c>
      <c r="M134" s="86" t="s">
        <v>392</v>
      </c>
      <c r="N134" s="86" t="s">
        <v>817</v>
      </c>
      <c r="O134" s="86" t="s">
        <v>791</v>
      </c>
      <c r="P134" s="89" t="str">
        <f>IFERROR(__xludf.DUMMYFUNCTION("IFERROR(
  TEXT(
    DATE(
      INDEX(SPLIT(O134,"" ""),3),
      VLOOKUP(INDEX(SPLIT(O134,"" ""),1),{""jan."",1;""Feb"",2;""mar."",3;""Apr"",4;""May"",5;""jun."",6;""jul."",7;""Aug"",8;""sep"",9;""Oct"",10;""nov."",11;""Dec"",12},2,FALSE),
      INDEX(S"&amp;"PLIT(O134,"" ""),2)
    ),
    ""dd/mm/yyyy""
  ),
"""")"),"21/05/2026")</f>
        <v>21/05/2026</v>
      </c>
    </row>
    <row r="135">
      <c r="A135" s="85" t="s">
        <v>818</v>
      </c>
      <c r="B135" s="85" t="s">
        <v>819</v>
      </c>
      <c r="C135" s="86" t="s">
        <v>387</v>
      </c>
      <c r="D135" s="86" t="s">
        <v>388</v>
      </c>
      <c r="E135" s="87"/>
      <c r="F135" s="86" t="s">
        <v>86</v>
      </c>
      <c r="G135" s="86" t="s">
        <v>389</v>
      </c>
      <c r="H135" s="87"/>
      <c r="I135" s="87"/>
      <c r="J135" s="86" t="s">
        <v>389</v>
      </c>
      <c r="K135" s="86" t="s">
        <v>390</v>
      </c>
      <c r="L135" s="86" t="s">
        <v>391</v>
      </c>
      <c r="M135" s="86" t="s">
        <v>392</v>
      </c>
      <c r="N135" s="86" t="s">
        <v>820</v>
      </c>
      <c r="O135" s="86" t="s">
        <v>821</v>
      </c>
      <c r="P135" s="89" t="str">
        <f>IFERROR(__xludf.DUMMYFUNCTION("IFERROR(
  TEXT(
    DATE(
      INDEX(SPLIT(O135,"" ""),3),
      VLOOKUP(INDEX(SPLIT(O135,"" ""),1),{""jan."",1;""Feb"",2;""mar."",3;""Apr"",4;""May"",5;""jun."",6;""jul."",7;""Aug"",8;""sep"",9;""Oct"",10;""nov."",11;""Dec"",12},2,FALSE),
      INDEX(S"&amp;"PLIT(O135,"" ""),2)
    ),
    ""dd/mm/yyyy""
  ),
"""")"),"15/05/2026")</f>
        <v>15/05/2026</v>
      </c>
    </row>
    <row r="136">
      <c r="A136" s="85" t="s">
        <v>822</v>
      </c>
      <c r="B136" s="85" t="s">
        <v>823</v>
      </c>
      <c r="C136" s="86" t="s">
        <v>387</v>
      </c>
      <c r="D136" s="86" t="s">
        <v>388</v>
      </c>
      <c r="E136" s="87"/>
      <c r="F136" s="86" t="s">
        <v>86</v>
      </c>
      <c r="G136" s="86" t="s">
        <v>389</v>
      </c>
      <c r="H136" s="87"/>
      <c r="I136" s="87"/>
      <c r="J136" s="86" t="s">
        <v>389</v>
      </c>
      <c r="K136" s="86" t="s">
        <v>390</v>
      </c>
      <c r="L136" s="86" t="s">
        <v>391</v>
      </c>
      <c r="M136" s="86" t="s">
        <v>392</v>
      </c>
      <c r="N136" s="86" t="s">
        <v>824</v>
      </c>
      <c r="O136" s="86" t="s">
        <v>825</v>
      </c>
      <c r="P136" s="89" t="str">
        <f>IFERROR(__xludf.DUMMYFUNCTION("IFERROR(
  TEXT(
    DATE(
      INDEX(SPLIT(O136,"" ""),3),
      VLOOKUP(INDEX(SPLIT(O136,"" ""),1),{""jan."",1;""Feb"",2;""mar."",3;""Apr"",4;""May"",5;""jun."",6;""jul."",7;""Aug"",8;""sep"",9;""Oct"",10;""nov."",11;""Dec"",12},2,FALSE),
      INDEX(S"&amp;"PLIT(O136,"" ""),2)
    ),
    ""dd/mm/yyyy""
  ),
"""")"),"15/05/2026")</f>
        <v>15/05/2026</v>
      </c>
    </row>
    <row r="137">
      <c r="A137" s="85" t="s">
        <v>826</v>
      </c>
      <c r="B137" s="85" t="s">
        <v>827</v>
      </c>
      <c r="C137" s="86" t="s">
        <v>387</v>
      </c>
      <c r="D137" s="86" t="s">
        <v>388</v>
      </c>
      <c r="E137" s="87"/>
      <c r="F137" s="86" t="s">
        <v>86</v>
      </c>
      <c r="G137" s="86" t="s">
        <v>389</v>
      </c>
      <c r="H137" s="87"/>
      <c r="I137" s="87"/>
      <c r="J137" s="86" t="s">
        <v>389</v>
      </c>
      <c r="K137" s="86" t="s">
        <v>390</v>
      </c>
      <c r="L137" s="86" t="s">
        <v>391</v>
      </c>
      <c r="M137" s="86" t="s">
        <v>392</v>
      </c>
      <c r="N137" s="86" t="s">
        <v>619</v>
      </c>
      <c r="O137" s="86" t="s">
        <v>821</v>
      </c>
      <c r="P137" s="89" t="str">
        <f>IFERROR(__xludf.DUMMYFUNCTION("IFERROR(
  TEXT(
    DATE(
      INDEX(SPLIT(O137,"" ""),3),
      VLOOKUP(INDEX(SPLIT(O137,"" ""),1),{""jan."",1;""Feb"",2;""mar."",3;""Apr"",4;""May"",5;""jun."",6;""jul."",7;""Aug"",8;""sep"",9;""Oct"",10;""nov."",11;""Dec"",12},2,FALSE),
      INDEX(S"&amp;"PLIT(O137,"" ""),2)
    ),
    ""dd/mm/yyyy""
  ),
"""")"),"15/05/2026")</f>
        <v>15/05/2026</v>
      </c>
    </row>
    <row r="138">
      <c r="A138" s="85" t="s">
        <v>828</v>
      </c>
      <c r="B138" s="85" t="s">
        <v>829</v>
      </c>
      <c r="C138" s="86" t="s">
        <v>387</v>
      </c>
      <c r="D138" s="86" t="s">
        <v>388</v>
      </c>
      <c r="E138" s="87"/>
      <c r="F138" s="86" t="s">
        <v>86</v>
      </c>
      <c r="G138" s="86" t="s">
        <v>389</v>
      </c>
      <c r="H138" s="87"/>
      <c r="I138" s="87"/>
      <c r="J138" s="86" t="s">
        <v>389</v>
      </c>
      <c r="K138" s="86" t="s">
        <v>390</v>
      </c>
      <c r="L138" s="86" t="s">
        <v>391</v>
      </c>
      <c r="M138" s="86" t="s">
        <v>392</v>
      </c>
      <c r="N138" s="86" t="s">
        <v>830</v>
      </c>
      <c r="O138" s="86" t="s">
        <v>821</v>
      </c>
      <c r="P138" s="89" t="str">
        <f>IFERROR(__xludf.DUMMYFUNCTION("IFERROR(
  TEXT(
    DATE(
      INDEX(SPLIT(O138,"" ""),3),
      VLOOKUP(INDEX(SPLIT(O138,"" ""),1),{""jan."",1;""Feb"",2;""mar."",3;""Apr"",4;""May"",5;""jun."",6;""jul."",7;""Aug"",8;""sep"",9;""Oct"",10;""nov."",11;""Dec"",12},2,FALSE),
      INDEX(S"&amp;"PLIT(O138,"" ""),2)
    ),
    ""dd/mm/yyyy""
  ),
"""")"),"15/05/2026")</f>
        <v>15/05/2026</v>
      </c>
    </row>
    <row r="139">
      <c r="A139" s="85" t="s">
        <v>831</v>
      </c>
      <c r="B139" s="85" t="s">
        <v>832</v>
      </c>
      <c r="C139" s="86" t="s">
        <v>387</v>
      </c>
      <c r="D139" s="86" t="s">
        <v>388</v>
      </c>
      <c r="E139" s="87"/>
      <c r="F139" s="86" t="s">
        <v>94</v>
      </c>
      <c r="G139" s="86" t="s">
        <v>389</v>
      </c>
      <c r="H139" s="87"/>
      <c r="I139" s="87"/>
      <c r="J139" s="86" t="s">
        <v>389</v>
      </c>
      <c r="K139" s="86" t="s">
        <v>390</v>
      </c>
      <c r="L139" s="86" t="s">
        <v>389</v>
      </c>
      <c r="M139" s="86" t="s">
        <v>389</v>
      </c>
      <c r="N139" s="86" t="s">
        <v>833</v>
      </c>
      <c r="O139" s="88">
        <v>46193.89166666667</v>
      </c>
      <c r="P139" s="89" t="str">
        <f>IFERROR(__xludf.DUMMYFUNCTION("IFERROR(
  TEXT(
    DATE(
      INDEX(SPLIT(O139,"" ""),3),
      VLOOKUP(INDEX(SPLIT(O139,"" ""),1),{""jan."",1;""Feb"",2;""mar."",3;""Apr"",4;""May"",5;""jun."",6;""jul."",7;""Aug"",8;""sep"",9;""Oct"",10;""nov."",11;""Dec"",12},2,FALSE),
      INDEX(S"&amp;"PLIT(O139,"" ""),2)
    ),
    ""dd/mm/yyyy""
  ),
"""")"),"20/06/2026")</f>
        <v>20/06/2026</v>
      </c>
    </row>
    <row r="140">
      <c r="A140" s="85" t="s">
        <v>834</v>
      </c>
      <c r="B140" s="85" t="s">
        <v>835</v>
      </c>
      <c r="C140" s="86" t="s">
        <v>387</v>
      </c>
      <c r="D140" s="86" t="s">
        <v>388</v>
      </c>
      <c r="E140" s="87"/>
      <c r="F140" s="86" t="s">
        <v>103</v>
      </c>
      <c r="G140" s="86" t="s">
        <v>389</v>
      </c>
      <c r="H140" s="87"/>
      <c r="I140" s="87"/>
      <c r="J140" s="86" t="s">
        <v>389</v>
      </c>
      <c r="K140" s="86" t="s">
        <v>390</v>
      </c>
      <c r="L140" s="86" t="s">
        <v>391</v>
      </c>
      <c r="M140" s="86" t="s">
        <v>392</v>
      </c>
      <c r="N140" s="86" t="s">
        <v>836</v>
      </c>
      <c r="O140" s="86" t="s">
        <v>837</v>
      </c>
      <c r="P140" s="89" t="str">
        <f>IFERROR(__xludf.DUMMYFUNCTION("IFERROR(
  TEXT(
    DATE(
      INDEX(SPLIT(O140,"" ""),3),
      VLOOKUP(INDEX(SPLIT(O140,"" ""),1),{""jan."",1;""Feb"",2;""mar."",3;""Apr"",4;""May"",5;""jun."",6;""jul."",7;""Aug"",8;""sep"",9;""Oct"",10;""nov."",11;""Dec"",12},2,FALSE),
      INDEX(S"&amp;"PLIT(O140,"" ""),2)
    ),
    ""dd/mm/yyyy""
  ),
"""")"),"26/05/2026")</f>
        <v>26/05/2026</v>
      </c>
    </row>
    <row r="141">
      <c r="A141" s="85" t="s">
        <v>838</v>
      </c>
      <c r="B141" s="85" t="s">
        <v>839</v>
      </c>
      <c r="C141" s="90"/>
      <c r="D141" s="90"/>
      <c r="E141" s="87"/>
      <c r="F141" s="86" t="s">
        <v>86</v>
      </c>
      <c r="G141" s="86" t="s">
        <v>389</v>
      </c>
      <c r="H141" s="87"/>
      <c r="I141" s="87"/>
      <c r="J141" s="86" t="s">
        <v>389</v>
      </c>
      <c r="K141" s="86" t="s">
        <v>390</v>
      </c>
      <c r="L141" s="86" t="s">
        <v>391</v>
      </c>
      <c r="M141" s="86" t="s">
        <v>392</v>
      </c>
      <c r="N141" s="86" t="s">
        <v>840</v>
      </c>
      <c r="O141" s="86" t="s">
        <v>841</v>
      </c>
      <c r="P141" s="89" t="str">
        <f>IFERROR(__xludf.DUMMYFUNCTION("IFERROR(
  TEXT(
    DATE(
      INDEX(SPLIT(O141,"" ""),3),
      VLOOKUP(INDEX(SPLIT(O141,"" ""),1),{""jan."",1;""Feb"",2;""mar."",3;""Apr"",4;""May"",5;""jun."",6;""jul."",7;""Aug"",8;""sep"",9;""Oct"",10;""nov."",11;""Dec"",12},2,FALSE),
      INDEX(S"&amp;"PLIT(O141,"" ""),2)
    ),
    ""dd/mm/yyyy""
  ),
"""")"),"15/05/2026")</f>
        <v>15/05/2026</v>
      </c>
    </row>
    <row r="142">
      <c r="A142" s="85" t="s">
        <v>842</v>
      </c>
      <c r="B142" s="85" t="s">
        <v>843</v>
      </c>
      <c r="C142" s="90"/>
      <c r="D142" s="90"/>
      <c r="E142" s="87"/>
      <c r="F142" s="86" t="s">
        <v>86</v>
      </c>
      <c r="G142" s="86" t="s">
        <v>389</v>
      </c>
      <c r="H142" s="87"/>
      <c r="I142" s="87"/>
      <c r="J142" s="86" t="s">
        <v>389</v>
      </c>
      <c r="K142" s="86" t="s">
        <v>390</v>
      </c>
      <c r="L142" s="86" t="s">
        <v>391</v>
      </c>
      <c r="M142" s="86" t="s">
        <v>392</v>
      </c>
      <c r="N142" s="86" t="s">
        <v>844</v>
      </c>
      <c r="O142" s="86" t="s">
        <v>841</v>
      </c>
      <c r="P142" s="89" t="str">
        <f>IFERROR(__xludf.DUMMYFUNCTION("IFERROR(
  TEXT(
    DATE(
      INDEX(SPLIT(O142,"" ""),3),
      VLOOKUP(INDEX(SPLIT(O142,"" ""),1),{""jan."",1;""Feb"",2;""mar."",3;""Apr"",4;""May"",5;""jun."",6;""jul."",7;""Aug"",8;""sep"",9;""Oct"",10;""nov."",11;""Dec"",12},2,FALSE),
      INDEX(S"&amp;"PLIT(O142,"" ""),2)
    ),
    ""dd/mm/yyyy""
  ),
"""")"),"15/05/2026")</f>
        <v>15/05/2026</v>
      </c>
    </row>
    <row r="143">
      <c r="A143" s="85" t="s">
        <v>845</v>
      </c>
      <c r="B143" s="85" t="s">
        <v>846</v>
      </c>
      <c r="C143" s="90"/>
      <c r="D143" s="90"/>
      <c r="E143" s="87"/>
      <c r="F143" s="86" t="s">
        <v>86</v>
      </c>
      <c r="G143" s="86" t="s">
        <v>389</v>
      </c>
      <c r="H143" s="87"/>
      <c r="I143" s="87"/>
      <c r="J143" s="86" t="s">
        <v>389</v>
      </c>
      <c r="K143" s="86" t="s">
        <v>390</v>
      </c>
      <c r="L143" s="86" t="s">
        <v>391</v>
      </c>
      <c r="M143" s="86" t="s">
        <v>392</v>
      </c>
      <c r="N143" s="86" t="s">
        <v>847</v>
      </c>
      <c r="O143" s="86" t="s">
        <v>841</v>
      </c>
      <c r="P143" s="89" t="str">
        <f>IFERROR(__xludf.DUMMYFUNCTION("IFERROR(
  TEXT(
    DATE(
      INDEX(SPLIT(O143,"" ""),3),
      VLOOKUP(INDEX(SPLIT(O143,"" ""),1),{""jan."",1;""Feb"",2;""mar."",3;""Apr"",4;""May"",5;""jun."",6;""jul."",7;""Aug"",8;""sep"",9;""Oct"",10;""nov."",11;""Dec"",12},2,FALSE),
      INDEX(S"&amp;"PLIT(O143,"" ""),2)
    ),
    ""dd/mm/yyyy""
  ),
"""")"),"15/05/2026")</f>
        <v>15/05/2026</v>
      </c>
    </row>
    <row r="144">
      <c r="A144" s="85" t="s">
        <v>848</v>
      </c>
      <c r="B144" s="85" t="s">
        <v>849</v>
      </c>
      <c r="C144" s="90"/>
      <c r="D144" s="90"/>
      <c r="E144" s="87"/>
      <c r="F144" s="86" t="s">
        <v>86</v>
      </c>
      <c r="G144" s="86" t="s">
        <v>389</v>
      </c>
      <c r="H144" s="87"/>
      <c r="I144" s="87"/>
      <c r="J144" s="86" t="s">
        <v>389</v>
      </c>
      <c r="K144" s="86" t="s">
        <v>390</v>
      </c>
      <c r="L144" s="86" t="s">
        <v>391</v>
      </c>
      <c r="M144" s="86" t="s">
        <v>392</v>
      </c>
      <c r="N144" s="86" t="s">
        <v>666</v>
      </c>
      <c r="O144" s="86" t="s">
        <v>841</v>
      </c>
      <c r="P144" s="89" t="str">
        <f>IFERROR(__xludf.DUMMYFUNCTION("IFERROR(
  TEXT(
    DATE(
      INDEX(SPLIT(O144,"" ""),3),
      VLOOKUP(INDEX(SPLIT(O144,"" ""),1),{""jan."",1;""Feb"",2;""mar."",3;""Apr"",4;""May"",5;""jun."",6;""jul."",7;""Aug"",8;""sep"",9;""Oct"",10;""nov."",11;""Dec"",12},2,FALSE),
      INDEX(S"&amp;"PLIT(O144,"" ""),2)
    ),
    ""dd/mm/yyyy""
  ),
"""")"),"15/05/2026")</f>
        <v>15/05/2026</v>
      </c>
    </row>
    <row r="145">
      <c r="A145" s="85" t="s">
        <v>850</v>
      </c>
      <c r="B145" s="85" t="s">
        <v>851</v>
      </c>
      <c r="C145" s="90"/>
      <c r="D145" s="90"/>
      <c r="E145" s="87"/>
      <c r="F145" s="86" t="s">
        <v>94</v>
      </c>
      <c r="G145" s="86" t="s">
        <v>389</v>
      </c>
      <c r="H145" s="87"/>
      <c r="I145" s="87"/>
      <c r="J145" s="86" t="s">
        <v>389</v>
      </c>
      <c r="K145" s="86" t="s">
        <v>390</v>
      </c>
      <c r="L145" s="86" t="s">
        <v>391</v>
      </c>
      <c r="M145" s="86" t="s">
        <v>392</v>
      </c>
      <c r="N145" s="86" t="s">
        <v>852</v>
      </c>
      <c r="O145" s="88">
        <v>46193.822916666664</v>
      </c>
      <c r="P145" s="89" t="str">
        <f>IFERROR(__xludf.DUMMYFUNCTION("IFERROR(
  TEXT(
    DATE(
      INDEX(SPLIT(O145,"" ""),3),
      VLOOKUP(INDEX(SPLIT(O145,"" ""),1),{""jan."",1;""Feb"",2;""mar."",3;""Apr"",4;""May"",5;""jun."",6;""jul."",7;""Aug"",8;""sep"",9;""Oct"",10;""nov."",11;""Dec"",12},2,FALSE),
      INDEX(S"&amp;"PLIT(O145,"" ""),2)
    ),
    ""dd/mm/yyyy""
  ),
"""")"),"20/06/2026")</f>
        <v>20/06/2026</v>
      </c>
    </row>
    <row r="146">
      <c r="A146" s="85" t="s">
        <v>853</v>
      </c>
      <c r="B146" s="85" t="s">
        <v>854</v>
      </c>
      <c r="C146" s="90"/>
      <c r="D146" s="90"/>
      <c r="E146" s="87"/>
      <c r="F146" s="86" t="s">
        <v>103</v>
      </c>
      <c r="G146" s="86" t="s">
        <v>389</v>
      </c>
      <c r="H146" s="87"/>
      <c r="I146" s="87"/>
      <c r="J146" s="86" t="s">
        <v>389</v>
      </c>
      <c r="K146" s="86" t="s">
        <v>390</v>
      </c>
      <c r="L146" s="86" t="s">
        <v>391</v>
      </c>
      <c r="M146" s="86" t="s">
        <v>392</v>
      </c>
      <c r="N146" s="86" t="s">
        <v>855</v>
      </c>
      <c r="O146" s="86" t="s">
        <v>856</v>
      </c>
      <c r="P146" s="89" t="str">
        <f>IFERROR(__xludf.DUMMYFUNCTION("IFERROR(
  TEXT(
    DATE(
      INDEX(SPLIT(O146,"" ""),3),
      VLOOKUP(INDEX(SPLIT(O146,"" ""),1),{""jan."",1;""Feb"",2;""mar."",3;""Apr"",4;""May"",5;""jun."",6;""jul."",7;""Aug"",8;""sep"",9;""Oct"",10;""nov."",11;""Dec"",12},2,FALSE),
      INDEX(S"&amp;"PLIT(O146,"" ""),2)
    ),
    ""dd/mm/yyyy""
  ),
"""")"),"26/05/2026")</f>
        <v>26/05/2026</v>
      </c>
    </row>
  </sheetData>
  <autoFilter ref="$A$1:$P$146"/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A76"/>
    <hyperlink r:id="rId150" ref="B76"/>
    <hyperlink r:id="rId151" ref="A77"/>
    <hyperlink r:id="rId152" ref="B77"/>
    <hyperlink r:id="rId153" ref="A78"/>
    <hyperlink r:id="rId154" ref="B78"/>
    <hyperlink r:id="rId155" ref="A79"/>
    <hyperlink r:id="rId156" ref="B79"/>
    <hyperlink r:id="rId157" ref="A80"/>
    <hyperlink r:id="rId158" ref="B80"/>
    <hyperlink r:id="rId159" ref="A81"/>
    <hyperlink r:id="rId160" ref="B81"/>
    <hyperlink r:id="rId161" ref="A82"/>
    <hyperlink r:id="rId162" ref="B82"/>
    <hyperlink r:id="rId163" ref="A83"/>
    <hyperlink r:id="rId164" ref="B83"/>
    <hyperlink r:id="rId165" ref="A84"/>
    <hyperlink r:id="rId166" ref="B84"/>
    <hyperlink r:id="rId167" ref="A85"/>
    <hyperlink r:id="rId168" ref="B85"/>
    <hyperlink r:id="rId169" ref="A86"/>
    <hyperlink r:id="rId170" ref="B86"/>
    <hyperlink r:id="rId171" ref="A87"/>
    <hyperlink r:id="rId172" ref="B87"/>
    <hyperlink r:id="rId173" ref="A88"/>
    <hyperlink r:id="rId174" ref="B88"/>
    <hyperlink r:id="rId175" ref="A89"/>
    <hyperlink r:id="rId176" ref="B89"/>
    <hyperlink r:id="rId177" ref="A90"/>
    <hyperlink r:id="rId178" ref="B90"/>
    <hyperlink r:id="rId179" ref="A91"/>
    <hyperlink r:id="rId180" ref="B91"/>
    <hyperlink r:id="rId181" ref="A92"/>
    <hyperlink r:id="rId182" ref="B92"/>
    <hyperlink r:id="rId183" ref="A93"/>
    <hyperlink r:id="rId184" ref="B93"/>
    <hyperlink r:id="rId185" ref="A94"/>
    <hyperlink r:id="rId186" ref="B94"/>
    <hyperlink r:id="rId187" ref="A95"/>
    <hyperlink r:id="rId188" ref="B95"/>
    <hyperlink r:id="rId189" ref="A96"/>
    <hyperlink r:id="rId190" ref="B96"/>
    <hyperlink r:id="rId191" ref="A97"/>
    <hyperlink r:id="rId192" ref="B97"/>
    <hyperlink r:id="rId193" ref="A98"/>
    <hyperlink r:id="rId194" ref="B98"/>
    <hyperlink r:id="rId195" ref="A99"/>
    <hyperlink r:id="rId196" ref="B99"/>
    <hyperlink r:id="rId197" ref="A100"/>
    <hyperlink r:id="rId198" ref="B100"/>
    <hyperlink r:id="rId199" ref="A101"/>
    <hyperlink r:id="rId200" ref="B101"/>
    <hyperlink r:id="rId201" ref="A102"/>
    <hyperlink r:id="rId202" ref="B102"/>
    <hyperlink r:id="rId203" ref="A103"/>
    <hyperlink r:id="rId204" ref="B103"/>
    <hyperlink r:id="rId205" ref="A104"/>
    <hyperlink r:id="rId206" ref="B104"/>
    <hyperlink r:id="rId207" ref="A105"/>
    <hyperlink r:id="rId208" ref="B105"/>
    <hyperlink r:id="rId209" ref="A106"/>
    <hyperlink r:id="rId210" ref="B106"/>
    <hyperlink r:id="rId211" ref="A107"/>
    <hyperlink r:id="rId212" ref="B107"/>
    <hyperlink r:id="rId213" ref="A108"/>
    <hyperlink r:id="rId214" ref="B108"/>
    <hyperlink r:id="rId215" ref="A109"/>
    <hyperlink r:id="rId216" ref="B109"/>
    <hyperlink r:id="rId217" ref="A110"/>
    <hyperlink r:id="rId218" ref="B110"/>
    <hyperlink r:id="rId219" ref="A111"/>
    <hyperlink r:id="rId220" ref="B111"/>
    <hyperlink r:id="rId221" ref="A112"/>
    <hyperlink r:id="rId222" ref="B112"/>
    <hyperlink r:id="rId223" ref="A113"/>
    <hyperlink r:id="rId224" ref="B113"/>
    <hyperlink r:id="rId225" ref="A114"/>
    <hyperlink r:id="rId226" ref="B114"/>
    <hyperlink r:id="rId227" ref="A115"/>
    <hyperlink r:id="rId228" ref="B115"/>
    <hyperlink r:id="rId229" ref="A116"/>
    <hyperlink r:id="rId230" ref="B116"/>
    <hyperlink r:id="rId231" ref="A117"/>
    <hyperlink r:id="rId232" ref="B117"/>
    <hyperlink r:id="rId233" ref="A118"/>
    <hyperlink r:id="rId234" ref="B118"/>
    <hyperlink r:id="rId235" ref="A119"/>
    <hyperlink r:id="rId236" ref="B119"/>
    <hyperlink r:id="rId237" ref="A120"/>
    <hyperlink r:id="rId238" ref="B120"/>
    <hyperlink r:id="rId239" ref="A121"/>
    <hyperlink r:id="rId240" ref="B121"/>
    <hyperlink r:id="rId241" ref="A122"/>
    <hyperlink r:id="rId242" ref="B122"/>
    <hyperlink r:id="rId243" ref="A123"/>
    <hyperlink r:id="rId244" ref="B123"/>
    <hyperlink r:id="rId245" ref="A124"/>
    <hyperlink r:id="rId246" ref="B124"/>
    <hyperlink r:id="rId247" ref="A125"/>
    <hyperlink r:id="rId248" ref="B125"/>
    <hyperlink r:id="rId249" ref="A126"/>
    <hyperlink r:id="rId250" ref="B126"/>
    <hyperlink r:id="rId251" ref="A127"/>
    <hyperlink r:id="rId252" ref="B127"/>
    <hyperlink r:id="rId253" ref="A128"/>
    <hyperlink r:id="rId254" ref="B128"/>
    <hyperlink r:id="rId255" ref="A129"/>
    <hyperlink r:id="rId256" ref="B129"/>
    <hyperlink r:id="rId257" ref="A130"/>
    <hyperlink r:id="rId258" ref="B130"/>
    <hyperlink r:id="rId259" ref="A131"/>
    <hyperlink r:id="rId260" ref="B131"/>
    <hyperlink r:id="rId261" ref="A132"/>
    <hyperlink r:id="rId262" ref="B132"/>
    <hyperlink r:id="rId263" ref="A133"/>
    <hyperlink r:id="rId264" ref="B133"/>
    <hyperlink r:id="rId265" ref="A134"/>
    <hyperlink r:id="rId266" ref="B134"/>
    <hyperlink r:id="rId267" ref="A135"/>
    <hyperlink r:id="rId268" ref="B135"/>
    <hyperlink r:id="rId269" ref="A136"/>
    <hyperlink r:id="rId270" ref="B136"/>
    <hyperlink r:id="rId271" ref="A137"/>
    <hyperlink r:id="rId272" ref="B137"/>
    <hyperlink r:id="rId273" ref="A138"/>
    <hyperlink r:id="rId274" ref="B138"/>
    <hyperlink r:id="rId275" ref="A139"/>
    <hyperlink r:id="rId276" ref="B139"/>
    <hyperlink r:id="rId277" ref="A140"/>
    <hyperlink r:id="rId278" ref="B140"/>
    <hyperlink r:id="rId279" ref="A141"/>
    <hyperlink r:id="rId280" ref="B141"/>
    <hyperlink r:id="rId281" ref="A142"/>
    <hyperlink r:id="rId282" ref="B142"/>
    <hyperlink r:id="rId283" ref="A143"/>
    <hyperlink r:id="rId284" ref="B143"/>
    <hyperlink r:id="rId285" ref="A144"/>
    <hyperlink r:id="rId286" ref="B144"/>
    <hyperlink r:id="rId287" ref="A145"/>
    <hyperlink r:id="rId288" ref="B145"/>
    <hyperlink r:id="rId289" ref="A146"/>
    <hyperlink r:id="rId290" ref="B146"/>
  </hyperlinks>
  <drawing r:id="rId29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  <col customWidth="1" min="2" max="2" width="36.25"/>
    <col customWidth="1" min="15" max="15" width="22.13"/>
  </cols>
  <sheetData>
    <row r="1">
      <c r="A1" s="83" t="s">
        <v>369</v>
      </c>
      <c r="B1" s="83" t="s">
        <v>370</v>
      </c>
      <c r="C1" s="83" t="s">
        <v>371</v>
      </c>
      <c r="D1" s="83" t="s">
        <v>372</v>
      </c>
      <c r="E1" s="83" t="s">
        <v>373</v>
      </c>
      <c r="F1" s="83" t="s">
        <v>374</v>
      </c>
      <c r="G1" s="83" t="s">
        <v>375</v>
      </c>
      <c r="H1" s="83" t="s">
        <v>376</v>
      </c>
      <c r="I1" s="83" t="s">
        <v>377</v>
      </c>
      <c r="J1" s="83" t="s">
        <v>378</v>
      </c>
      <c r="K1" s="83" t="s">
        <v>379</v>
      </c>
      <c r="L1" s="83" t="s">
        <v>380</v>
      </c>
      <c r="M1" s="83" t="s">
        <v>381</v>
      </c>
      <c r="N1" s="83" t="s">
        <v>382</v>
      </c>
      <c r="O1" s="83" t="s">
        <v>383</v>
      </c>
      <c r="P1" s="84" t="s">
        <v>384</v>
      </c>
    </row>
    <row r="2">
      <c r="A2" s="85" t="s">
        <v>857</v>
      </c>
      <c r="B2" s="85" t="s">
        <v>858</v>
      </c>
      <c r="C2" s="90"/>
      <c r="D2" s="90"/>
      <c r="E2" s="87"/>
      <c r="F2" s="86" t="s">
        <v>226</v>
      </c>
      <c r="G2" s="86" t="s">
        <v>389</v>
      </c>
      <c r="H2" s="87"/>
      <c r="I2" s="87"/>
      <c r="J2" s="86" t="s">
        <v>389</v>
      </c>
      <c r="K2" s="86" t="s">
        <v>390</v>
      </c>
      <c r="L2" s="86" t="s">
        <v>391</v>
      </c>
      <c r="M2" s="86" t="s">
        <v>392</v>
      </c>
      <c r="N2" s="86" t="s">
        <v>859</v>
      </c>
      <c r="O2" s="86" t="s">
        <v>860</v>
      </c>
      <c r="P2" s="89" t="str">
        <f>IFERROR(__xludf.DUMMYFUNCTION("IFERROR(
  TEXT(
    DATE(
      INDEX(SPLIT(O2,"" ""),3),
      VLOOKUP(INDEX(SPLIT(O2,"" ""),1),{""jan."",1;""Feb"",2;""mar."",3;""Apr"",4;""May"",5;""jun."",6;""jul."",7;""Aug"",8;""sep"",9;""Oct"",10;""nov."",11;""Dec"",12},2,FALSE),
      INDEX(SPLIT"&amp;"(O2,"" ""),2)
    ),
    ""dd/mm/yyyy""
  ),
"""")"),"10/04/2026")</f>
        <v>10/04/2026</v>
      </c>
    </row>
    <row r="3">
      <c r="A3" s="85" t="s">
        <v>861</v>
      </c>
      <c r="B3" s="85" t="s">
        <v>862</v>
      </c>
      <c r="C3" s="90"/>
      <c r="D3" s="90"/>
      <c r="E3" s="87"/>
      <c r="F3" s="86" t="s">
        <v>863</v>
      </c>
      <c r="G3" s="86" t="s">
        <v>389</v>
      </c>
      <c r="H3" s="87"/>
      <c r="I3" s="87"/>
      <c r="J3" s="86" t="s">
        <v>389</v>
      </c>
      <c r="K3" s="86" t="s">
        <v>390</v>
      </c>
      <c r="L3" s="86" t="s">
        <v>391</v>
      </c>
      <c r="M3" s="86" t="s">
        <v>392</v>
      </c>
      <c r="N3" s="86" t="s">
        <v>864</v>
      </c>
      <c r="O3" s="86" t="s">
        <v>865</v>
      </c>
      <c r="P3" s="89" t="str">
        <f>IFERROR(__xludf.DUMMYFUNCTION("IFERROR(
  TEXT(
    DATE(
      INDEX(SPLIT(O3,"" ""),3),
      VLOOKUP(INDEX(SPLIT(O3,"" ""),1),{""jan."",1;""Feb"",2;""mar."",3;""Apr"",4;""May"",5;""jun."",6;""jul."",7;""Aug"",8;""sep"",9;""Oct"",10;""nov."",11;""Dec"",12},2,FALSE),
      INDEX(SPLIT"&amp;"(O3,"" ""),2)
    ),
    ""dd/mm/yyyy""
  ),
"""")"),"17/04/2026")</f>
        <v>17/04/2026</v>
      </c>
    </row>
    <row r="4">
      <c r="A4" s="85" t="s">
        <v>866</v>
      </c>
      <c r="B4" s="85" t="s">
        <v>867</v>
      </c>
      <c r="C4" s="90"/>
      <c r="D4" s="90"/>
      <c r="E4" s="87"/>
      <c r="F4" s="86" t="s">
        <v>339</v>
      </c>
      <c r="G4" s="86" t="s">
        <v>389</v>
      </c>
      <c r="H4" s="87"/>
      <c r="I4" s="87"/>
      <c r="J4" s="86" t="s">
        <v>389</v>
      </c>
      <c r="K4" s="86" t="s">
        <v>390</v>
      </c>
      <c r="L4" s="86" t="s">
        <v>391</v>
      </c>
      <c r="M4" s="86" t="s">
        <v>392</v>
      </c>
      <c r="N4" s="86" t="s">
        <v>715</v>
      </c>
      <c r="O4" s="86" t="s">
        <v>868</v>
      </c>
      <c r="P4" s="89" t="str">
        <f>IFERROR(__xludf.DUMMYFUNCTION("IFERROR(
  TEXT(
    DATE(
      INDEX(SPLIT(O4,"" ""),3),
      VLOOKUP(INDEX(SPLIT(O4,"" ""),1),{""jan."",1;""Feb"",2;""mar."",3;""Apr"",4;""May"",5;""jun."",6;""jul."",7;""Aug"",8;""sep"",9;""Oct"",10;""nov."",11;""Dec"",12},2,FALSE),
      INDEX(SPLIT"&amp;"(O4,"" ""),2)
    ),
    ""dd/mm/yyyy""
  ),
"""")"),"04/12/2025")</f>
        <v>04/12/2025</v>
      </c>
    </row>
    <row r="5">
      <c r="A5" s="85" t="s">
        <v>869</v>
      </c>
      <c r="B5" s="85" t="s">
        <v>870</v>
      </c>
      <c r="C5" s="90"/>
      <c r="D5" s="90"/>
      <c r="E5" s="87"/>
      <c r="F5" s="86" t="s">
        <v>71</v>
      </c>
      <c r="G5" s="86" t="s">
        <v>389</v>
      </c>
      <c r="H5" s="87"/>
      <c r="I5" s="87"/>
      <c r="J5" s="86" t="s">
        <v>389</v>
      </c>
      <c r="K5" s="86" t="s">
        <v>390</v>
      </c>
      <c r="L5" s="86" t="s">
        <v>391</v>
      </c>
      <c r="M5" s="86" t="s">
        <v>392</v>
      </c>
      <c r="N5" s="86" t="s">
        <v>871</v>
      </c>
      <c r="O5" s="86" t="s">
        <v>872</v>
      </c>
      <c r="P5" s="89" t="str">
        <f>IFERROR(__xludf.DUMMYFUNCTION("IFERROR(
  TEXT(
    DATE(
      INDEX(SPLIT(O5,"" ""),3),
      VLOOKUP(INDEX(SPLIT(O5,"" ""),1),{""jan."",1;""Feb"",2;""mar."",3;""Apr"",4;""May"",5;""jun."",6;""jul."",7;""Aug"",8;""sep"",9;""Oct"",10;""nov."",11;""Dec"",12},2,FALSE),
      INDEX(SPLIT"&amp;"(O5,"" ""),2)
    ),
    ""dd/mm/yyyy""
  ),
"""")"),"29/04/2026")</f>
        <v>29/04/2026</v>
      </c>
    </row>
    <row r="6">
      <c r="A6" s="85" t="s">
        <v>873</v>
      </c>
      <c r="B6" s="85" t="s">
        <v>874</v>
      </c>
      <c r="C6" s="90"/>
      <c r="D6" s="90"/>
      <c r="E6" s="87"/>
      <c r="F6" s="86" t="s">
        <v>94</v>
      </c>
      <c r="G6" s="86" t="s">
        <v>389</v>
      </c>
      <c r="H6" s="87"/>
      <c r="I6" s="87"/>
      <c r="J6" s="86" t="s">
        <v>389</v>
      </c>
      <c r="K6" s="86" t="s">
        <v>390</v>
      </c>
      <c r="L6" s="86" t="s">
        <v>391</v>
      </c>
      <c r="M6" s="86" t="s">
        <v>392</v>
      </c>
      <c r="N6" s="86" t="s">
        <v>875</v>
      </c>
      <c r="O6" s="86" t="s">
        <v>876</v>
      </c>
      <c r="P6" s="89" t="str">
        <f>IFERROR(__xludf.DUMMYFUNCTION("IFERROR(
  TEXT(
    DATE(
      INDEX(SPLIT(O6,"" ""),3),
      VLOOKUP(INDEX(SPLIT(O6,"" ""),1),{""jan."",1;""Feb"",2;""mar."",3;""Apr"",4;""May"",5;""jun."",6;""jul."",7;""Aug"",8;""sep"",9;""Oct"",10;""nov."",11;""Dec"",12},2,FALSE),
      INDEX(SPLIT"&amp;"(O6,"" ""),2)
    ),
    ""dd/mm/yyyy""
  ),
"""")"),"29/04/2026")</f>
        <v>29/04/2026</v>
      </c>
    </row>
    <row r="7">
      <c r="A7" s="85" t="s">
        <v>877</v>
      </c>
      <c r="B7" s="85" t="s">
        <v>878</v>
      </c>
      <c r="C7" s="90"/>
      <c r="D7" s="90"/>
      <c r="E7" s="87"/>
      <c r="F7" s="86" t="s">
        <v>117</v>
      </c>
      <c r="G7" s="86" t="s">
        <v>389</v>
      </c>
      <c r="H7" s="87"/>
      <c r="I7" s="87"/>
      <c r="J7" s="86" t="s">
        <v>389</v>
      </c>
      <c r="K7" s="86" t="s">
        <v>390</v>
      </c>
      <c r="L7" s="86" t="s">
        <v>391</v>
      </c>
      <c r="M7" s="86" t="s">
        <v>392</v>
      </c>
      <c r="N7" s="86" t="s">
        <v>464</v>
      </c>
      <c r="O7" s="86" t="s">
        <v>879</v>
      </c>
      <c r="P7" s="89" t="str">
        <f>IFERROR(__xludf.DUMMYFUNCTION("IFERROR(
  TEXT(
    DATE(
      INDEX(SPLIT(O7,"" ""),3),
      VLOOKUP(INDEX(SPLIT(O7,"" ""),1),{""jan."",1;""Feb"",2;""mar."",3;""Apr"",4;""May"",5;""jun."",6;""jul."",7;""Aug"",8;""sep"",9;""Oct"",10;""nov."",11;""Dec"",12},2,FALSE),
      INDEX(SPLIT"&amp;"(O7,"" ""),2)
    ),
    ""dd/mm/yyyy""
  ),
"""")"),"06/04/2026")</f>
        <v>06/04/2026</v>
      </c>
    </row>
    <row r="8">
      <c r="A8" s="85" t="s">
        <v>880</v>
      </c>
      <c r="B8" s="85" t="s">
        <v>881</v>
      </c>
      <c r="C8" s="90"/>
      <c r="D8" s="90"/>
      <c r="E8" s="87"/>
      <c r="F8" s="86" t="s">
        <v>882</v>
      </c>
      <c r="G8" s="86" t="s">
        <v>389</v>
      </c>
      <c r="H8" s="87"/>
      <c r="I8" s="87"/>
      <c r="J8" s="86" t="s">
        <v>389</v>
      </c>
      <c r="K8" s="86" t="s">
        <v>390</v>
      </c>
      <c r="L8" s="86" t="s">
        <v>391</v>
      </c>
      <c r="M8" s="86" t="s">
        <v>392</v>
      </c>
      <c r="N8" s="86" t="s">
        <v>883</v>
      </c>
      <c r="O8" s="86" t="s">
        <v>884</v>
      </c>
      <c r="P8" s="89" t="str">
        <f>IFERROR(__xludf.DUMMYFUNCTION("IFERROR(
  TEXT(
    DATE(
      INDEX(SPLIT(O8,"" ""),3),
      VLOOKUP(INDEX(SPLIT(O8,"" ""),1),{""jan."",1;""Feb"",2;""mar."",3;""Apr"",4;""May"",5;""jun."",6;""jul."",7;""Aug"",8;""sep"",9;""Oct"",10;""nov."",11;""Dec"",12},2,FALSE),
      INDEX(SPLIT"&amp;"(O8,"" ""),2)
    ),
    ""dd/mm/yyyy""
  ),
"""")"),"10/04/2026")</f>
        <v>10/04/2026</v>
      </c>
    </row>
    <row r="9">
      <c r="A9" s="85" t="s">
        <v>885</v>
      </c>
      <c r="B9" s="85" t="s">
        <v>886</v>
      </c>
      <c r="C9" s="90"/>
      <c r="D9" s="90"/>
      <c r="E9" s="87"/>
      <c r="F9" s="86" t="s">
        <v>253</v>
      </c>
      <c r="G9" s="86" t="s">
        <v>389</v>
      </c>
      <c r="H9" s="87"/>
      <c r="I9" s="87"/>
      <c r="J9" s="86" t="s">
        <v>389</v>
      </c>
      <c r="K9" s="86" t="s">
        <v>390</v>
      </c>
      <c r="L9" s="86" t="s">
        <v>391</v>
      </c>
      <c r="M9" s="86" t="s">
        <v>392</v>
      </c>
      <c r="N9" s="86" t="s">
        <v>887</v>
      </c>
      <c r="O9" s="88">
        <v>46108.48819444444</v>
      </c>
      <c r="P9" s="89" t="str">
        <f>IFERROR(__xludf.DUMMYFUNCTION("IFERROR(
  TEXT(
    DATE(
      INDEX(SPLIT(O9,"" ""),3),
      VLOOKUP(INDEX(SPLIT(O9,"" ""),1),{""jan."",1;""Feb"",2;""mar."",3;""Apr"",4;""May"",5;""jun."",6;""jul."",7;""Aug"",8;""sep"",9;""Oct"",10;""nov."",11;""Dec"",12},2,FALSE),
      INDEX(SPLIT"&amp;"(O9,"" ""),2)
    ),
    ""dd/mm/yyyy""
  ),
"""")"),"27/03/2026")</f>
        <v>27/03/2026</v>
      </c>
    </row>
    <row r="10">
      <c r="A10" s="85" t="s">
        <v>888</v>
      </c>
      <c r="B10" s="85" t="s">
        <v>889</v>
      </c>
      <c r="C10" s="90"/>
      <c r="D10" s="90"/>
      <c r="E10" s="87"/>
      <c r="F10" s="86" t="s">
        <v>117</v>
      </c>
      <c r="G10" s="86" t="s">
        <v>389</v>
      </c>
      <c r="H10" s="87"/>
      <c r="I10" s="87"/>
      <c r="J10" s="86" t="s">
        <v>389</v>
      </c>
      <c r="K10" s="86" t="s">
        <v>390</v>
      </c>
      <c r="L10" s="86" t="s">
        <v>391</v>
      </c>
      <c r="M10" s="86" t="s">
        <v>392</v>
      </c>
      <c r="N10" s="86" t="s">
        <v>474</v>
      </c>
      <c r="O10" s="86" t="s">
        <v>890</v>
      </c>
      <c r="P10" s="89" t="str">
        <f>IFERROR(__xludf.DUMMYFUNCTION("IFERROR(
  TEXT(
    DATE(
      INDEX(SPLIT(O10,"" ""),3),
      VLOOKUP(INDEX(SPLIT(O10,"" ""),1),{""jan."",1;""Feb"",2;""mar."",3;""Apr"",4;""May"",5;""jun."",6;""jul."",7;""Aug"",8;""sep"",9;""Oct"",10;""nov."",11;""Dec"",12},2,FALSE),
      INDEX(SPL"&amp;"IT(O10,"" ""),2)
    ),
    ""dd/mm/yyyy""
  ),
"""")"),"08/04/2026")</f>
        <v>08/04/2026</v>
      </c>
    </row>
    <row r="11">
      <c r="A11" s="85" t="s">
        <v>891</v>
      </c>
      <c r="B11" s="85" t="s">
        <v>892</v>
      </c>
      <c r="C11" s="90"/>
      <c r="D11" s="90"/>
      <c r="E11" s="87"/>
      <c r="F11" s="86" t="s">
        <v>339</v>
      </c>
      <c r="G11" s="86" t="s">
        <v>389</v>
      </c>
      <c r="H11" s="87"/>
      <c r="I11" s="87"/>
      <c r="J11" s="86" t="s">
        <v>389</v>
      </c>
      <c r="K11" s="86" t="s">
        <v>390</v>
      </c>
      <c r="L11" s="86" t="s">
        <v>391</v>
      </c>
      <c r="M11" s="86" t="s">
        <v>392</v>
      </c>
      <c r="N11" s="86" t="s">
        <v>477</v>
      </c>
      <c r="O11" s="86" t="s">
        <v>893</v>
      </c>
      <c r="P11" s="89" t="str">
        <f>IFERROR(__xludf.DUMMYFUNCTION("IFERROR(
  TEXT(
    DATE(
      INDEX(SPLIT(O11,"" ""),3),
      VLOOKUP(INDEX(SPLIT(O11,"" ""),1),{""jan."",1;""Feb"",2;""mar."",3;""Apr"",4;""May"",5;""jun."",6;""jul."",7;""Aug"",8;""sep"",9;""Oct"",10;""nov."",11;""Dec"",12},2,FALSE),
      INDEX(SPL"&amp;"IT(O11,"" ""),2)
    ),
    ""dd/mm/yyyy""
  ),
"""")"),"10/04/2026")</f>
        <v>10/04/2026</v>
      </c>
    </row>
    <row r="12">
      <c r="A12" s="85" t="s">
        <v>894</v>
      </c>
      <c r="B12" s="85" t="s">
        <v>895</v>
      </c>
      <c r="C12" s="90"/>
      <c r="D12" s="90"/>
      <c r="E12" s="87"/>
      <c r="F12" s="86" t="s">
        <v>117</v>
      </c>
      <c r="G12" s="86" t="s">
        <v>389</v>
      </c>
      <c r="H12" s="87"/>
      <c r="I12" s="87"/>
      <c r="J12" s="86" t="s">
        <v>389</v>
      </c>
      <c r="K12" s="86" t="s">
        <v>390</v>
      </c>
      <c r="L12" s="86" t="s">
        <v>391</v>
      </c>
      <c r="M12" s="86" t="s">
        <v>392</v>
      </c>
      <c r="N12" s="86" t="s">
        <v>896</v>
      </c>
      <c r="O12" s="86" t="s">
        <v>897</v>
      </c>
      <c r="P12" s="89" t="str">
        <f>IFERROR(__xludf.DUMMYFUNCTION("IFERROR(
  TEXT(
    DATE(
      INDEX(SPLIT(O12,"" ""),3),
      VLOOKUP(INDEX(SPLIT(O12,"" ""),1),{""jan."",1;""Feb"",2;""mar."",3;""Apr"",4;""May"",5;""jun."",6;""jul."",7;""Aug"",8;""sep"",9;""Oct"",10;""nov."",11;""Dec"",12},2,FALSE),
      INDEX(SPL"&amp;"IT(O12,"" ""),2)
    ),
    ""dd/mm/yyyy""
  ),
"""")"),"05/05/2026")</f>
        <v>05/05/2026</v>
      </c>
    </row>
    <row r="13">
      <c r="A13" s="85" t="s">
        <v>898</v>
      </c>
      <c r="B13" s="85" t="s">
        <v>899</v>
      </c>
      <c r="C13" s="90"/>
      <c r="D13" s="90"/>
      <c r="E13" s="87"/>
      <c r="F13" s="86" t="s">
        <v>71</v>
      </c>
      <c r="G13" s="86" t="s">
        <v>389</v>
      </c>
      <c r="H13" s="87"/>
      <c r="I13" s="87"/>
      <c r="J13" s="86" t="s">
        <v>389</v>
      </c>
      <c r="K13" s="86" t="s">
        <v>390</v>
      </c>
      <c r="L13" s="86" t="s">
        <v>391</v>
      </c>
      <c r="M13" s="86" t="s">
        <v>392</v>
      </c>
      <c r="N13" s="86" t="s">
        <v>900</v>
      </c>
      <c r="O13" s="86" t="s">
        <v>901</v>
      </c>
      <c r="P13" s="89" t="str">
        <f>IFERROR(__xludf.DUMMYFUNCTION("IFERROR(
  TEXT(
    DATE(
      INDEX(SPLIT(O13,"" ""),3),
      VLOOKUP(INDEX(SPLIT(O13,"" ""),1),{""jan."",1;""Feb"",2;""mar."",3;""Apr"",4;""May"",5;""jun."",6;""jul."",7;""Aug"",8;""sep"",9;""Oct"",10;""nov."",11;""Dec"",12},2,FALSE),
      INDEX(SPL"&amp;"IT(O13,"" ""),2)
    ),
    ""dd/mm/yyyy""
  ),
"""")"),"10/04/2026")</f>
        <v>10/04/2026</v>
      </c>
    </row>
    <row r="14">
      <c r="A14" s="85" t="s">
        <v>902</v>
      </c>
      <c r="B14" s="85" t="s">
        <v>903</v>
      </c>
      <c r="C14" s="90"/>
      <c r="D14" s="90"/>
      <c r="E14" s="87"/>
      <c r="F14" s="86" t="s">
        <v>122</v>
      </c>
      <c r="G14" s="86" t="s">
        <v>389</v>
      </c>
      <c r="H14" s="87"/>
      <c r="I14" s="87"/>
      <c r="J14" s="86" t="s">
        <v>389</v>
      </c>
      <c r="K14" s="86" t="s">
        <v>390</v>
      </c>
      <c r="L14" s="86" t="s">
        <v>391</v>
      </c>
      <c r="M14" s="86" t="s">
        <v>392</v>
      </c>
      <c r="N14" s="86" t="s">
        <v>904</v>
      </c>
      <c r="O14" s="86" t="s">
        <v>905</v>
      </c>
      <c r="P14" s="89" t="str">
        <f>IFERROR(__xludf.DUMMYFUNCTION("IFERROR(
  TEXT(
    DATE(
      INDEX(SPLIT(O14,"" ""),3),
      VLOOKUP(INDEX(SPLIT(O14,"" ""),1),{""jan."",1;""Feb"",2;""mar."",3;""Apr"",4;""May"",5;""jun."",6;""jul."",7;""Aug"",8;""sep"",9;""Oct"",10;""nov."",11;""Dec"",12},2,FALSE),
      INDEX(SPL"&amp;"IT(O14,"" ""),2)
    ),
    ""dd/mm/yyyy""
  ),
"""")"),"07/04/2026")</f>
        <v>07/04/2026</v>
      </c>
    </row>
    <row r="15">
      <c r="A15" s="85" t="s">
        <v>906</v>
      </c>
      <c r="B15" s="85" t="s">
        <v>907</v>
      </c>
      <c r="C15" s="90"/>
      <c r="D15" s="90"/>
      <c r="E15" s="87"/>
      <c r="F15" s="86" t="s">
        <v>141</v>
      </c>
      <c r="G15" s="86" t="s">
        <v>389</v>
      </c>
      <c r="H15" s="87"/>
      <c r="I15" s="87"/>
      <c r="J15" s="86" t="s">
        <v>389</v>
      </c>
      <c r="K15" s="86" t="s">
        <v>390</v>
      </c>
      <c r="L15" s="86" t="s">
        <v>391</v>
      </c>
      <c r="M15" s="86" t="s">
        <v>392</v>
      </c>
      <c r="N15" s="86" t="s">
        <v>908</v>
      </c>
      <c r="O15" s="88">
        <v>46052.49097222222</v>
      </c>
      <c r="P15" s="89" t="str">
        <f>IFERROR(__xludf.DUMMYFUNCTION("IFERROR(
  TEXT(
    DATE(
      INDEX(SPLIT(O15,"" ""),3),
      VLOOKUP(INDEX(SPLIT(O15,"" ""),1),{""jan."",1;""Feb"",2;""mar."",3;""Apr"",4;""May"",5;""jun."",6;""jul."",7;""Aug"",8;""sep"",9;""Oct"",10;""nov."",11;""Dec"",12},2,FALSE),
      INDEX(SPL"&amp;"IT(O15,"" ""),2)
    ),
    ""dd/mm/yyyy""
  ),
"""")"),"30/01/2026")</f>
        <v>30/01/2026</v>
      </c>
    </row>
    <row r="16">
      <c r="A16" s="85" t="s">
        <v>909</v>
      </c>
      <c r="B16" s="85" t="s">
        <v>910</v>
      </c>
      <c r="C16" s="90"/>
      <c r="D16" s="90"/>
      <c r="E16" s="87"/>
      <c r="F16" s="86" t="s">
        <v>292</v>
      </c>
      <c r="G16" s="86" t="s">
        <v>389</v>
      </c>
      <c r="H16" s="87"/>
      <c r="I16" s="87"/>
      <c r="J16" s="86" t="s">
        <v>389</v>
      </c>
      <c r="K16" s="86" t="s">
        <v>390</v>
      </c>
      <c r="L16" s="86" t="s">
        <v>391</v>
      </c>
      <c r="M16" s="86" t="s">
        <v>392</v>
      </c>
      <c r="N16" s="86" t="s">
        <v>911</v>
      </c>
      <c r="O16" s="88">
        <v>46099.427777777775</v>
      </c>
      <c r="P16" s="89" t="str">
        <f>IFERROR(__xludf.DUMMYFUNCTION("IFERROR(
  TEXT(
    DATE(
      INDEX(SPLIT(O16,"" ""),3),
      VLOOKUP(INDEX(SPLIT(O16,"" ""),1),{""jan."",1;""Feb"",2;""mar."",3;""Apr"",4;""May"",5;""jun."",6;""jul."",7;""Aug"",8;""sep"",9;""Oct"",10;""nov."",11;""Dec"",12},2,FALSE),
      INDEX(SPL"&amp;"IT(O16,"" ""),2)
    ),
    ""dd/mm/yyyy""
  ),
"""")"),"18/03/2026")</f>
        <v>18/03/2026</v>
      </c>
    </row>
    <row r="17">
      <c r="A17" s="85" t="s">
        <v>912</v>
      </c>
      <c r="B17" s="85" t="s">
        <v>913</v>
      </c>
      <c r="C17" s="90"/>
      <c r="D17" s="90"/>
      <c r="E17" s="87"/>
      <c r="F17" s="86" t="s">
        <v>914</v>
      </c>
      <c r="G17" s="86" t="s">
        <v>389</v>
      </c>
      <c r="H17" s="87"/>
      <c r="I17" s="87"/>
      <c r="J17" s="86" t="s">
        <v>389</v>
      </c>
      <c r="K17" s="86" t="s">
        <v>390</v>
      </c>
      <c r="L17" s="86" t="s">
        <v>391</v>
      </c>
      <c r="M17" s="86" t="s">
        <v>392</v>
      </c>
      <c r="N17" s="86" t="s">
        <v>915</v>
      </c>
      <c r="O17" s="88">
        <v>46107.736805555556</v>
      </c>
      <c r="P17" s="89" t="str">
        <f>IFERROR(__xludf.DUMMYFUNCTION("IFERROR(
  TEXT(
    DATE(
      INDEX(SPLIT(O17,"" ""),3),
      VLOOKUP(INDEX(SPLIT(O17,"" ""),1),{""jan."",1;""Feb"",2;""mar."",3;""Apr"",4;""May"",5;""jun."",6;""jul."",7;""Aug"",8;""sep"",9;""Oct"",10;""nov."",11;""Dec"",12},2,FALSE),
      INDEX(SPL"&amp;"IT(O17,"" ""),2)
    ),
    ""dd/mm/yyyy""
  ),
"""")"),"26/03/2026")</f>
        <v>26/03/2026</v>
      </c>
    </row>
    <row r="18">
      <c r="A18" s="85" t="s">
        <v>916</v>
      </c>
      <c r="B18" s="85" t="s">
        <v>917</v>
      </c>
      <c r="C18" s="90"/>
      <c r="D18" s="90"/>
      <c r="E18" s="87"/>
      <c r="F18" s="86" t="s">
        <v>131</v>
      </c>
      <c r="G18" s="86" t="s">
        <v>389</v>
      </c>
      <c r="H18" s="87"/>
      <c r="I18" s="87"/>
      <c r="J18" s="86" t="s">
        <v>389</v>
      </c>
      <c r="K18" s="86" t="s">
        <v>390</v>
      </c>
      <c r="L18" s="86" t="s">
        <v>391</v>
      </c>
      <c r="M18" s="86" t="s">
        <v>392</v>
      </c>
      <c r="N18" s="86" t="s">
        <v>918</v>
      </c>
      <c r="O18" s="88">
        <v>45970.830555555556</v>
      </c>
      <c r="P18" s="89" t="str">
        <f>IFERROR(__xludf.DUMMYFUNCTION("IFERROR(
  TEXT(
    DATE(
      INDEX(SPLIT(O18,"" ""),3),
      VLOOKUP(INDEX(SPLIT(O18,"" ""),1),{""jan."",1;""Feb"",2;""mar."",3;""Apr"",4;""May"",5;""jun."",6;""jul."",7;""Aug"",8;""sep"",9;""Oct"",10;""nov."",11;""Dec"",12},2,FALSE),
      INDEX(SPL"&amp;"IT(O18,"" ""),2)
    ),
    ""dd/mm/yyyy""
  ),
"""")"),"09/11/2025")</f>
        <v>09/11/2025</v>
      </c>
    </row>
    <row r="19">
      <c r="A19" s="85" t="s">
        <v>919</v>
      </c>
      <c r="B19" s="85" t="s">
        <v>920</v>
      </c>
      <c r="C19" s="90"/>
      <c r="D19" s="90"/>
      <c r="E19" s="87"/>
      <c r="F19" s="86" t="s">
        <v>103</v>
      </c>
      <c r="G19" s="86" t="s">
        <v>389</v>
      </c>
      <c r="H19" s="87"/>
      <c r="I19" s="87"/>
      <c r="J19" s="86" t="s">
        <v>389</v>
      </c>
      <c r="K19" s="86" t="s">
        <v>390</v>
      </c>
      <c r="L19" s="86" t="s">
        <v>391</v>
      </c>
      <c r="M19" s="86" t="s">
        <v>392</v>
      </c>
      <c r="N19" s="86" t="s">
        <v>921</v>
      </c>
      <c r="O19" s="88">
        <v>46052.62222222222</v>
      </c>
      <c r="P19" s="89" t="str">
        <f>IFERROR(__xludf.DUMMYFUNCTION("IFERROR(
  TEXT(
    DATE(
      INDEX(SPLIT(O19,"" ""),3),
      VLOOKUP(INDEX(SPLIT(O19,"" ""),1),{""jan."",1;""Feb"",2;""mar."",3;""Apr"",4;""May"",5;""jun."",6;""jul."",7;""Aug"",8;""sep"",9;""Oct"",10;""nov."",11;""Dec"",12},2,FALSE),
      INDEX(SPL"&amp;"IT(O19,"" ""),2)
    ),
    ""dd/mm/yyyy""
  ),
"""")"),"30/01/2026")</f>
        <v>30/01/2026</v>
      </c>
    </row>
    <row r="20">
      <c r="A20" s="85" t="s">
        <v>922</v>
      </c>
      <c r="B20" s="85" t="s">
        <v>923</v>
      </c>
      <c r="C20" s="90"/>
      <c r="D20" s="90"/>
      <c r="E20" s="87"/>
      <c r="F20" s="86" t="s">
        <v>136</v>
      </c>
      <c r="G20" s="86" t="s">
        <v>389</v>
      </c>
      <c r="H20" s="87"/>
      <c r="I20" s="87"/>
      <c r="J20" s="86" t="s">
        <v>389</v>
      </c>
      <c r="K20" s="86" t="s">
        <v>390</v>
      </c>
      <c r="L20" s="86" t="s">
        <v>391</v>
      </c>
      <c r="M20" s="86" t="s">
        <v>392</v>
      </c>
      <c r="N20" s="86" t="s">
        <v>924</v>
      </c>
      <c r="O20" s="86" t="s">
        <v>925</v>
      </c>
      <c r="P20" s="89" t="str">
        <f>IFERROR(__xludf.DUMMYFUNCTION("IFERROR(
  TEXT(
    DATE(
      INDEX(SPLIT(O20,"" ""),3),
      VLOOKUP(INDEX(SPLIT(O20,"" ""),1),{""jan."",1;""Feb"",2;""mar."",3;""Apr"",4;""May"",5;""jun."",6;""jul."",7;""Aug"",8;""sep"",9;""Oct"",10;""nov."",11;""Dec"",12},2,FALSE),
      INDEX(SPL"&amp;"IT(O20,"" ""),2)
    ),
    ""dd/mm/yyyy""
  ),
"""")"),"11/05/2026")</f>
        <v>11/05/2026</v>
      </c>
    </row>
    <row r="21">
      <c r="A21" s="85" t="s">
        <v>926</v>
      </c>
      <c r="B21" s="85" t="s">
        <v>927</v>
      </c>
      <c r="C21" s="90"/>
      <c r="D21" s="90"/>
      <c r="E21" s="87"/>
      <c r="F21" s="86" t="s">
        <v>141</v>
      </c>
      <c r="G21" s="86" t="s">
        <v>389</v>
      </c>
      <c r="H21" s="87"/>
      <c r="I21" s="87"/>
      <c r="J21" s="86" t="s">
        <v>389</v>
      </c>
      <c r="K21" s="86" t="s">
        <v>390</v>
      </c>
      <c r="L21" s="86" t="s">
        <v>391</v>
      </c>
      <c r="M21" s="86" t="s">
        <v>392</v>
      </c>
      <c r="N21" s="86" t="s">
        <v>928</v>
      </c>
      <c r="O21" s="88">
        <v>46045.49513888889</v>
      </c>
      <c r="P21" s="89" t="str">
        <f>IFERROR(__xludf.DUMMYFUNCTION("IFERROR(
  TEXT(
    DATE(
      INDEX(SPLIT(O21,"" ""),3),
      VLOOKUP(INDEX(SPLIT(O21,"" ""),1),{""jan."",1;""Feb"",2;""mar."",3;""Apr"",4;""May"",5;""jun."",6;""jul."",7;""Aug"",8;""sep"",9;""Oct"",10;""nov."",11;""Dec"",12},2,FALSE),
      INDEX(SPL"&amp;"IT(O21,"" ""),2)
    ),
    ""dd/mm/yyyy""
  ),
"""")"),"23/01/2026")</f>
        <v>23/01/2026</v>
      </c>
    </row>
    <row r="22">
      <c r="A22" s="85" t="s">
        <v>929</v>
      </c>
      <c r="B22" s="85" t="s">
        <v>930</v>
      </c>
      <c r="C22" s="90"/>
      <c r="D22" s="90"/>
      <c r="E22" s="87"/>
      <c r="F22" s="86" t="s">
        <v>86</v>
      </c>
      <c r="G22" s="86" t="s">
        <v>389</v>
      </c>
      <c r="H22" s="87"/>
      <c r="I22" s="87"/>
      <c r="J22" s="86" t="s">
        <v>389</v>
      </c>
      <c r="K22" s="86" t="s">
        <v>390</v>
      </c>
      <c r="L22" s="86" t="s">
        <v>391</v>
      </c>
      <c r="M22" s="86" t="s">
        <v>392</v>
      </c>
      <c r="N22" s="86" t="s">
        <v>452</v>
      </c>
      <c r="O22" s="86" t="s">
        <v>931</v>
      </c>
      <c r="P22" s="89" t="str">
        <f>IFERROR(__xludf.DUMMYFUNCTION("IFERROR(
  TEXT(
    DATE(
      INDEX(SPLIT(O22,"" ""),3),
      VLOOKUP(INDEX(SPLIT(O22,"" ""),1),{""jan."",1;""Feb"",2;""mar."",3;""Apr"",4;""May"",5;""jun."",6;""jul."",7;""Aug"",8;""sep"",9;""Oct"",10;""nov."",11;""Dec"",12},2,FALSE),
      INDEX(SPL"&amp;"IT(O22,"" ""),2)
    ),
    ""dd/mm/yyyy""
  ),
"""")"),"04/02/2025")</f>
        <v>04/02/2025</v>
      </c>
    </row>
    <row r="23">
      <c r="A23" s="85" t="s">
        <v>932</v>
      </c>
      <c r="B23" s="85" t="s">
        <v>933</v>
      </c>
      <c r="C23" s="90"/>
      <c r="D23" s="90"/>
      <c r="E23" s="87"/>
      <c r="F23" s="86" t="s">
        <v>86</v>
      </c>
      <c r="G23" s="86" t="s">
        <v>389</v>
      </c>
      <c r="H23" s="87"/>
      <c r="I23" s="87"/>
      <c r="J23" s="86" t="s">
        <v>389</v>
      </c>
      <c r="K23" s="86" t="s">
        <v>390</v>
      </c>
      <c r="L23" s="86" t="s">
        <v>391</v>
      </c>
      <c r="M23" s="86" t="s">
        <v>392</v>
      </c>
      <c r="N23" s="86" t="s">
        <v>934</v>
      </c>
      <c r="O23" s="86" t="s">
        <v>931</v>
      </c>
      <c r="P23" s="89" t="str">
        <f>IFERROR(__xludf.DUMMYFUNCTION("IFERROR(
  TEXT(
    DATE(
      INDEX(SPLIT(O23,"" ""),3),
      VLOOKUP(INDEX(SPLIT(O23,"" ""),1),{""jan."",1;""Feb"",2;""mar."",3;""Apr"",4;""May"",5;""jun."",6;""jul."",7;""Aug"",8;""sep"",9;""Oct"",10;""nov."",11;""Dec"",12},2,FALSE),
      INDEX(SPL"&amp;"IT(O23,"" ""),2)
    ),
    ""dd/mm/yyyy""
  ),
"""")"),"04/02/2025")</f>
        <v>04/02/2025</v>
      </c>
    </row>
    <row r="24">
      <c r="A24" s="85" t="s">
        <v>935</v>
      </c>
      <c r="B24" s="85" t="s">
        <v>936</v>
      </c>
      <c r="C24" s="86" t="s">
        <v>937</v>
      </c>
      <c r="D24" s="86" t="s">
        <v>388</v>
      </c>
      <c r="E24" s="87"/>
      <c r="F24" s="86" t="s">
        <v>339</v>
      </c>
      <c r="G24" s="86" t="s">
        <v>389</v>
      </c>
      <c r="H24" s="87"/>
      <c r="I24" s="87"/>
      <c r="J24" s="86" t="s">
        <v>389</v>
      </c>
      <c r="K24" s="86" t="s">
        <v>390</v>
      </c>
      <c r="L24" s="86" t="s">
        <v>391</v>
      </c>
      <c r="M24" s="86" t="s">
        <v>392</v>
      </c>
      <c r="N24" s="86" t="s">
        <v>938</v>
      </c>
      <c r="O24" s="86" t="s">
        <v>939</v>
      </c>
      <c r="P24" s="89" t="str">
        <f>IFERROR(__xludf.DUMMYFUNCTION("IFERROR(
  TEXT(
    DATE(
      INDEX(SPLIT(O24,"" ""),3),
      VLOOKUP(INDEX(SPLIT(O24,"" ""),1),{""jan."",1;""Feb"",2;""mar."",3;""Apr"",4;""May"",5;""jun."",6;""jul."",7;""Aug"",8;""sep"",9;""Oct"",10;""nov."",11;""Dec"",12},2,FALSE),
      INDEX(SPL"&amp;"IT(O24,"" ""),2)
    ),
    ""dd/mm/yyyy""
  ),
"""")"),"04/02/2025")</f>
        <v>04/02/2025</v>
      </c>
    </row>
    <row r="25">
      <c r="A25" s="85" t="s">
        <v>940</v>
      </c>
      <c r="B25" s="85" t="s">
        <v>941</v>
      </c>
      <c r="C25" s="86" t="s">
        <v>937</v>
      </c>
      <c r="D25" s="86" t="s">
        <v>388</v>
      </c>
      <c r="E25" s="87"/>
      <c r="F25" s="86" t="s">
        <v>208</v>
      </c>
      <c r="G25" s="86" t="s">
        <v>389</v>
      </c>
      <c r="H25" s="87"/>
      <c r="I25" s="87"/>
      <c r="J25" s="86" t="s">
        <v>389</v>
      </c>
      <c r="K25" s="86" t="s">
        <v>390</v>
      </c>
      <c r="L25" s="86" t="s">
        <v>391</v>
      </c>
      <c r="M25" s="86" t="s">
        <v>392</v>
      </c>
      <c r="N25" s="86" t="s">
        <v>942</v>
      </c>
      <c r="O25" s="86" t="s">
        <v>939</v>
      </c>
      <c r="P25" s="89" t="str">
        <f>IFERROR(__xludf.DUMMYFUNCTION("IFERROR(
  TEXT(
    DATE(
      INDEX(SPLIT(O25,"" ""),3),
      VLOOKUP(INDEX(SPLIT(O25,"" ""),1),{""jan."",1;""Feb"",2;""mar."",3;""Apr"",4;""May"",5;""jun."",6;""jul."",7;""Aug"",8;""sep"",9;""Oct"",10;""nov."",11;""Dec"",12},2,FALSE),
      INDEX(SPL"&amp;"IT(O25,"" ""),2)
    ),
    ""dd/mm/yyyy""
  ),
"""")"),"04/02/2025")</f>
        <v>04/02/2025</v>
      </c>
    </row>
    <row r="26">
      <c r="A26" s="85" t="s">
        <v>943</v>
      </c>
      <c r="B26" s="85" t="s">
        <v>944</v>
      </c>
      <c r="C26" s="86" t="s">
        <v>937</v>
      </c>
      <c r="D26" s="86" t="s">
        <v>388</v>
      </c>
      <c r="E26" s="87"/>
      <c r="F26" s="86" t="s">
        <v>136</v>
      </c>
      <c r="G26" s="86" t="s">
        <v>389</v>
      </c>
      <c r="H26" s="87"/>
      <c r="I26" s="87"/>
      <c r="J26" s="86" t="s">
        <v>389</v>
      </c>
      <c r="K26" s="86" t="s">
        <v>390</v>
      </c>
      <c r="L26" s="86" t="s">
        <v>391</v>
      </c>
      <c r="M26" s="86" t="s">
        <v>392</v>
      </c>
      <c r="N26" s="86" t="s">
        <v>945</v>
      </c>
      <c r="O26" s="86" t="s">
        <v>946</v>
      </c>
      <c r="P26" s="89" t="str">
        <f>IFERROR(__xludf.DUMMYFUNCTION("IFERROR(
  TEXT(
    DATE(
      INDEX(SPLIT(O26,"" ""),3),
      VLOOKUP(INDEX(SPLIT(O26,"" ""),1),{""jan."",1;""Feb"",2;""mar."",3;""Apr"",4;""May"",5;""jun."",6;""jul."",7;""Aug"",8;""sep"",9;""Oct"",10;""nov."",11;""Dec"",12},2,FALSE),
      INDEX(SPL"&amp;"IT(O26,"" ""),2)
    ),
    ""dd/mm/yyyy""
  ),
"""")"),"04/02/2025")</f>
        <v>04/02/2025</v>
      </c>
    </row>
    <row r="27">
      <c r="A27" s="85" t="s">
        <v>947</v>
      </c>
      <c r="B27" s="85" t="s">
        <v>948</v>
      </c>
      <c r="C27" s="90"/>
      <c r="D27" s="90"/>
      <c r="E27" s="87"/>
      <c r="F27" s="86" t="s">
        <v>103</v>
      </c>
      <c r="G27" s="86" t="s">
        <v>389</v>
      </c>
      <c r="H27" s="87"/>
      <c r="I27" s="87"/>
      <c r="J27" s="86" t="s">
        <v>389</v>
      </c>
      <c r="K27" s="86" t="s">
        <v>390</v>
      </c>
      <c r="L27" s="86" t="s">
        <v>391</v>
      </c>
      <c r="M27" s="86" t="s">
        <v>392</v>
      </c>
      <c r="N27" s="86" t="s">
        <v>949</v>
      </c>
      <c r="O27" s="86" t="s">
        <v>950</v>
      </c>
      <c r="P27" s="89" t="str">
        <f>IFERROR(__xludf.DUMMYFUNCTION("IFERROR(
  TEXT(
    DATE(
      INDEX(SPLIT(O27,"" ""),3),
      VLOOKUP(INDEX(SPLIT(O27,"" ""),1),{""jan."",1;""Feb"",2;""mar."",3;""Apr"",4;""May"",5;""jun."",6;""jul."",7;""Aug"",8;""sep"",9;""Oct"",10;""nov."",11;""Dec"",12},2,FALSE),
      INDEX(SPL"&amp;"IT(O27,"" ""),2)
    ),
    ""dd/mm/yyyy""
  ),
"""")"),"04/02/2025")</f>
        <v>04/02/2025</v>
      </c>
    </row>
    <row r="28">
      <c r="A28" s="85" t="s">
        <v>951</v>
      </c>
      <c r="B28" s="85" t="s">
        <v>952</v>
      </c>
      <c r="C28" s="90"/>
      <c r="D28" s="86" t="s">
        <v>388</v>
      </c>
      <c r="E28" s="87"/>
      <c r="F28" s="86" t="s">
        <v>117</v>
      </c>
      <c r="G28" s="86" t="s">
        <v>389</v>
      </c>
      <c r="H28" s="87"/>
      <c r="I28" s="87"/>
      <c r="J28" s="86" t="s">
        <v>389</v>
      </c>
      <c r="K28" s="86" t="s">
        <v>390</v>
      </c>
      <c r="L28" s="86" t="s">
        <v>389</v>
      </c>
      <c r="M28" s="86" t="s">
        <v>389</v>
      </c>
      <c r="N28" s="86" t="s">
        <v>953</v>
      </c>
      <c r="O28" s="86" t="s">
        <v>950</v>
      </c>
      <c r="P28" s="89" t="str">
        <f>IFERROR(__xludf.DUMMYFUNCTION("IFERROR(
  TEXT(
    DATE(
      INDEX(SPLIT(O28,"" ""),3),
      VLOOKUP(INDEX(SPLIT(O28,"" ""),1),{""jan."",1;""Feb"",2;""mar."",3;""Apr"",4;""May"",5;""jun."",6;""jul."",7;""Aug"",8;""sep"",9;""Oct"",10;""nov."",11;""Dec"",12},2,FALSE),
      INDEX(SPL"&amp;"IT(O28,"" ""),2)
    ),
    ""dd/mm/yyyy""
  ),
"""")"),"04/02/2025")</f>
        <v>04/02/2025</v>
      </c>
    </row>
    <row r="29">
      <c r="A29" s="85" t="s">
        <v>954</v>
      </c>
      <c r="B29" s="85" t="s">
        <v>955</v>
      </c>
      <c r="C29" s="86" t="s">
        <v>937</v>
      </c>
      <c r="D29" s="86" t="s">
        <v>388</v>
      </c>
      <c r="E29" s="87"/>
      <c r="F29" s="86" t="s">
        <v>103</v>
      </c>
      <c r="G29" s="86" t="s">
        <v>389</v>
      </c>
      <c r="H29" s="87"/>
      <c r="I29" s="87"/>
      <c r="J29" s="86" t="s">
        <v>389</v>
      </c>
      <c r="K29" s="86" t="s">
        <v>390</v>
      </c>
      <c r="L29" s="86" t="s">
        <v>391</v>
      </c>
      <c r="M29" s="86" t="s">
        <v>392</v>
      </c>
      <c r="N29" s="86" t="s">
        <v>956</v>
      </c>
      <c r="O29" s="86" t="s">
        <v>946</v>
      </c>
      <c r="P29" s="89" t="str">
        <f>IFERROR(__xludf.DUMMYFUNCTION("IFERROR(
  TEXT(
    DATE(
      INDEX(SPLIT(O29,"" ""),3),
      VLOOKUP(INDEX(SPLIT(O29,"" ""),1),{""jan."",1;""Feb"",2;""mar."",3;""Apr"",4;""May"",5;""jun."",6;""jul."",7;""Aug"",8;""sep"",9;""Oct"",10;""nov."",11;""Dec"",12},2,FALSE),
      INDEX(SPL"&amp;"IT(O29,"" ""),2)
    ),
    ""dd/mm/yyyy""
  ),
"""")"),"04/02/2025")</f>
        <v>04/02/2025</v>
      </c>
    </row>
    <row r="30">
      <c r="A30" s="85" t="s">
        <v>957</v>
      </c>
      <c r="B30" s="85" t="s">
        <v>958</v>
      </c>
      <c r="C30" s="86" t="s">
        <v>937</v>
      </c>
      <c r="D30" s="86" t="s">
        <v>388</v>
      </c>
      <c r="E30" s="87"/>
      <c r="F30" s="86" t="s">
        <v>71</v>
      </c>
      <c r="G30" s="86" t="s">
        <v>389</v>
      </c>
      <c r="H30" s="87"/>
      <c r="I30" s="87"/>
      <c r="J30" s="86" t="s">
        <v>389</v>
      </c>
      <c r="K30" s="86" t="s">
        <v>390</v>
      </c>
      <c r="L30" s="86" t="s">
        <v>391</v>
      </c>
      <c r="M30" s="86" t="s">
        <v>392</v>
      </c>
      <c r="N30" s="86" t="s">
        <v>959</v>
      </c>
      <c r="O30" s="86" t="s">
        <v>939</v>
      </c>
      <c r="P30" s="89" t="str">
        <f>IFERROR(__xludf.DUMMYFUNCTION("IFERROR(
  TEXT(
    DATE(
      INDEX(SPLIT(O30,"" ""),3),
      VLOOKUP(INDEX(SPLIT(O30,"" ""),1),{""jan."",1;""Feb"",2;""mar."",3;""Apr"",4;""May"",5;""jun."",6;""jul."",7;""Aug"",8;""sep"",9;""Oct"",10;""nov."",11;""Dec"",12},2,FALSE),
      INDEX(SPL"&amp;"IT(O30,"" ""),2)
    ),
    ""dd/mm/yyyy""
  ),
"""")"),"04/02/2025")</f>
        <v>04/02/2025</v>
      </c>
    </row>
    <row r="31">
      <c r="A31" s="85" t="s">
        <v>960</v>
      </c>
      <c r="B31" s="85" t="s">
        <v>961</v>
      </c>
      <c r="C31" s="86" t="s">
        <v>937</v>
      </c>
      <c r="D31" s="86" t="s">
        <v>388</v>
      </c>
      <c r="E31" s="87"/>
      <c r="F31" s="86" t="s">
        <v>221</v>
      </c>
      <c r="G31" s="86" t="s">
        <v>389</v>
      </c>
      <c r="H31" s="87"/>
      <c r="I31" s="87"/>
      <c r="J31" s="86" t="s">
        <v>389</v>
      </c>
      <c r="K31" s="86" t="s">
        <v>390</v>
      </c>
      <c r="L31" s="86" t="s">
        <v>391</v>
      </c>
      <c r="M31" s="86" t="s">
        <v>392</v>
      </c>
      <c r="N31" s="86" t="s">
        <v>962</v>
      </c>
      <c r="O31" s="86" t="s">
        <v>963</v>
      </c>
      <c r="P31" s="89" t="str">
        <f>IFERROR(__xludf.DUMMYFUNCTION("IFERROR(
  TEXT(
    DATE(
      INDEX(SPLIT(O31,"" ""),3),
      VLOOKUP(INDEX(SPLIT(O31,"" ""),1),{""jan."",1;""Feb"",2;""mar."",3;""Apr"",4;""May"",5;""jun."",6;""jul."",7;""Aug"",8;""sep"",9;""Oct"",10;""nov."",11;""Dec"",12},2,FALSE),
      INDEX(SPL"&amp;"IT(O31,"" ""),2)
    ),
    ""dd/mm/yyyy""
  ),
"""")"),"13/04/2026")</f>
        <v>13/04/2026</v>
      </c>
    </row>
    <row r="32">
      <c r="A32" s="85" t="s">
        <v>964</v>
      </c>
      <c r="B32" s="85" t="s">
        <v>965</v>
      </c>
      <c r="C32" s="86" t="s">
        <v>937</v>
      </c>
      <c r="D32" s="86" t="s">
        <v>388</v>
      </c>
      <c r="E32" s="87"/>
      <c r="F32" s="86" t="s">
        <v>863</v>
      </c>
      <c r="G32" s="86" t="s">
        <v>389</v>
      </c>
      <c r="H32" s="87"/>
      <c r="I32" s="87"/>
      <c r="J32" s="86" t="s">
        <v>389</v>
      </c>
      <c r="K32" s="86" t="s">
        <v>390</v>
      </c>
      <c r="L32" s="86" t="s">
        <v>391</v>
      </c>
      <c r="M32" s="86" t="s">
        <v>392</v>
      </c>
      <c r="N32" s="86" t="s">
        <v>966</v>
      </c>
      <c r="O32" s="86" t="s">
        <v>967</v>
      </c>
      <c r="P32" s="89" t="str">
        <f>IFERROR(__xludf.DUMMYFUNCTION("IFERROR(
  TEXT(
    DATE(
      INDEX(SPLIT(O32,"" ""),3),
      VLOOKUP(INDEX(SPLIT(O32,"" ""),1),{""jan."",1;""Feb"",2;""mar."",3;""Apr"",4;""May"",5;""jun."",6;""jul."",7;""Aug"",8;""sep"",9;""Oct"",10;""nov."",11;""Dec"",12},2,FALSE),
      INDEX(SPL"&amp;"IT(O32,"" ""),2)
    ),
    ""dd/mm/yyyy""
  ),
"""")"),"17/04/2026")</f>
        <v>17/04/2026</v>
      </c>
    </row>
    <row r="33">
      <c r="A33" s="85" t="s">
        <v>968</v>
      </c>
      <c r="B33" s="85" t="s">
        <v>969</v>
      </c>
      <c r="C33" s="86" t="s">
        <v>937</v>
      </c>
      <c r="D33" s="86" t="s">
        <v>388</v>
      </c>
      <c r="E33" s="87"/>
      <c r="F33" s="86" t="s">
        <v>339</v>
      </c>
      <c r="G33" s="86" t="s">
        <v>389</v>
      </c>
      <c r="H33" s="87"/>
      <c r="I33" s="87"/>
      <c r="J33" s="86" t="s">
        <v>389</v>
      </c>
      <c r="K33" s="86" t="s">
        <v>390</v>
      </c>
      <c r="L33" s="86" t="s">
        <v>391</v>
      </c>
      <c r="M33" s="86" t="s">
        <v>392</v>
      </c>
      <c r="N33" s="86" t="s">
        <v>970</v>
      </c>
      <c r="O33" s="86" t="s">
        <v>868</v>
      </c>
      <c r="P33" s="89" t="str">
        <f>IFERROR(__xludf.DUMMYFUNCTION("IFERROR(
  TEXT(
    DATE(
      INDEX(SPLIT(O33,"" ""),3),
      VLOOKUP(INDEX(SPLIT(O33,"" ""),1),{""jan."",1;""Feb"",2;""mar."",3;""Apr"",4;""May"",5;""jun."",6;""jul."",7;""Aug"",8;""sep"",9;""Oct"",10;""nov."",11;""Dec"",12},2,FALSE),
      INDEX(SPL"&amp;"IT(O33,"" ""),2)
    ),
    ""dd/mm/yyyy""
  ),
"""")"),"04/12/2025")</f>
        <v>04/12/2025</v>
      </c>
    </row>
    <row r="34">
      <c r="A34" s="85" t="s">
        <v>971</v>
      </c>
      <c r="B34" s="85" t="s">
        <v>972</v>
      </c>
      <c r="C34" s="86" t="s">
        <v>937</v>
      </c>
      <c r="D34" s="86" t="s">
        <v>388</v>
      </c>
      <c r="E34" s="87"/>
      <c r="F34" s="86" t="s">
        <v>71</v>
      </c>
      <c r="G34" s="86" t="s">
        <v>389</v>
      </c>
      <c r="H34" s="87"/>
      <c r="I34" s="87"/>
      <c r="J34" s="86" t="s">
        <v>389</v>
      </c>
      <c r="K34" s="86" t="s">
        <v>390</v>
      </c>
      <c r="L34" s="86" t="s">
        <v>391</v>
      </c>
      <c r="M34" s="86" t="s">
        <v>392</v>
      </c>
      <c r="N34" s="86" t="s">
        <v>973</v>
      </c>
      <c r="O34" s="86" t="s">
        <v>974</v>
      </c>
      <c r="P34" s="89" t="str">
        <f>IFERROR(__xludf.DUMMYFUNCTION("IFERROR(
  TEXT(
    DATE(
      INDEX(SPLIT(O34,"" ""),3),
      VLOOKUP(INDEX(SPLIT(O34,"" ""),1),{""jan."",1;""Feb"",2;""mar."",3;""Apr"",4;""May"",5;""jun."",6;""jul."",7;""Aug"",8;""sep"",9;""Oct"",10;""nov."",11;""Dec"",12},2,FALSE),
      INDEX(SPL"&amp;"IT(O34,"" ""),2)
    ),
    ""dd/mm/yyyy""
  ),
"""")"),"29/04/2026")</f>
        <v>29/04/2026</v>
      </c>
    </row>
    <row r="35">
      <c r="A35" s="85" t="s">
        <v>975</v>
      </c>
      <c r="B35" s="85" t="s">
        <v>976</v>
      </c>
      <c r="C35" s="86" t="s">
        <v>937</v>
      </c>
      <c r="D35" s="86" t="s">
        <v>388</v>
      </c>
      <c r="E35" s="87"/>
      <c r="F35" s="86" t="s">
        <v>103</v>
      </c>
      <c r="G35" s="86" t="s">
        <v>389</v>
      </c>
      <c r="H35" s="87"/>
      <c r="I35" s="87"/>
      <c r="J35" s="86" t="s">
        <v>389</v>
      </c>
      <c r="K35" s="86" t="s">
        <v>390</v>
      </c>
      <c r="L35" s="86" t="s">
        <v>391</v>
      </c>
      <c r="M35" s="86" t="s">
        <v>392</v>
      </c>
      <c r="N35" s="86" t="s">
        <v>517</v>
      </c>
      <c r="O35" s="86" t="s">
        <v>977</v>
      </c>
      <c r="P35" s="89" t="str">
        <f>IFERROR(__xludf.DUMMYFUNCTION("IFERROR(
  TEXT(
    DATE(
      INDEX(SPLIT(O35,"" ""),3),
      VLOOKUP(INDEX(SPLIT(O35,"" ""),1),{""jan."",1;""Feb"",2;""mar."",3;""Apr"",4;""May"",5;""jun."",6;""jul."",7;""Aug"",8;""sep"",9;""Oct"",10;""nov."",11;""Dec"",12},2,FALSE),
      INDEX(SPL"&amp;"IT(O35,"" ""),2)
    ),
    ""dd/mm/yyyy""
  ),
"""")"),"29/04/2026")</f>
        <v>29/04/2026</v>
      </c>
    </row>
    <row r="36">
      <c r="A36" s="85" t="s">
        <v>978</v>
      </c>
      <c r="B36" s="85" t="s">
        <v>979</v>
      </c>
      <c r="C36" s="86" t="s">
        <v>937</v>
      </c>
      <c r="D36" s="86" t="s">
        <v>388</v>
      </c>
      <c r="E36" s="87"/>
      <c r="F36" s="86" t="s">
        <v>141</v>
      </c>
      <c r="G36" s="86" t="s">
        <v>389</v>
      </c>
      <c r="H36" s="87"/>
      <c r="I36" s="87"/>
      <c r="J36" s="86" t="s">
        <v>389</v>
      </c>
      <c r="K36" s="86" t="s">
        <v>390</v>
      </c>
      <c r="L36" s="86" t="s">
        <v>391</v>
      </c>
      <c r="M36" s="86" t="s">
        <v>392</v>
      </c>
      <c r="N36" s="86" t="s">
        <v>980</v>
      </c>
      <c r="O36" s="86" t="s">
        <v>981</v>
      </c>
      <c r="P36" s="89" t="str">
        <f>IFERROR(__xludf.DUMMYFUNCTION("IFERROR(
  TEXT(
    DATE(
      INDEX(SPLIT(O36,"" ""),3),
      VLOOKUP(INDEX(SPLIT(O36,"" ""),1),{""jan."",1;""Feb"",2;""mar."",3;""Apr"",4;""May"",5;""jun."",6;""jul."",7;""Aug"",8;""sep"",9;""Oct"",10;""nov."",11;""Dec"",12},2,FALSE),
      INDEX(SPL"&amp;"IT(O36,"" ""),2)
    ),
    ""dd/mm/yyyy""
  ),
"""")"),"06/04/2026")</f>
        <v>06/04/2026</v>
      </c>
    </row>
    <row r="37">
      <c r="A37" s="85" t="s">
        <v>982</v>
      </c>
      <c r="B37" s="85" t="s">
        <v>983</v>
      </c>
      <c r="C37" s="86" t="s">
        <v>937</v>
      </c>
      <c r="D37" s="86" t="s">
        <v>388</v>
      </c>
      <c r="E37" s="87"/>
      <c r="F37" s="86" t="s">
        <v>204</v>
      </c>
      <c r="G37" s="86" t="s">
        <v>389</v>
      </c>
      <c r="H37" s="87"/>
      <c r="I37" s="87"/>
      <c r="J37" s="86" t="s">
        <v>389</v>
      </c>
      <c r="K37" s="86" t="s">
        <v>390</v>
      </c>
      <c r="L37" s="86" t="s">
        <v>391</v>
      </c>
      <c r="M37" s="86" t="s">
        <v>392</v>
      </c>
      <c r="N37" s="86" t="s">
        <v>984</v>
      </c>
      <c r="O37" s="86" t="s">
        <v>985</v>
      </c>
      <c r="P37" s="89" t="str">
        <f>IFERROR(__xludf.DUMMYFUNCTION("IFERROR(
  TEXT(
    DATE(
      INDEX(SPLIT(O37,"" ""),3),
      VLOOKUP(INDEX(SPLIT(O37,"" ""),1),{""jan."",1;""Feb"",2;""mar."",3;""Apr"",4;""May"",5;""jun."",6;""jul."",7;""Aug"",8;""sep"",9;""Oct"",10;""nov."",11;""Dec"",12},2,FALSE),
      INDEX(SPL"&amp;"IT(O37,"" ""),2)
    ),
    ""dd/mm/yyyy""
  ),
"""")"),"06/05/2026")</f>
        <v>06/05/2026</v>
      </c>
    </row>
    <row r="38">
      <c r="A38" s="85" t="s">
        <v>986</v>
      </c>
      <c r="B38" s="85" t="s">
        <v>987</v>
      </c>
      <c r="C38" s="86" t="s">
        <v>937</v>
      </c>
      <c r="D38" s="86" t="s">
        <v>388</v>
      </c>
      <c r="E38" s="87"/>
      <c r="F38" s="86" t="s">
        <v>339</v>
      </c>
      <c r="G38" s="86" t="s">
        <v>389</v>
      </c>
      <c r="H38" s="87"/>
      <c r="I38" s="87"/>
      <c r="J38" s="86" t="s">
        <v>389</v>
      </c>
      <c r="K38" s="86" t="s">
        <v>390</v>
      </c>
      <c r="L38" s="86" t="s">
        <v>391</v>
      </c>
      <c r="M38" s="86" t="s">
        <v>392</v>
      </c>
      <c r="N38" s="86" t="s">
        <v>988</v>
      </c>
      <c r="O38" s="88">
        <v>46108.48402777778</v>
      </c>
      <c r="P38" s="89" t="str">
        <f>IFERROR(__xludf.DUMMYFUNCTION("IFERROR(
  TEXT(
    DATE(
      INDEX(SPLIT(O38,"" ""),3),
      VLOOKUP(INDEX(SPLIT(O38,"" ""),1),{""jan."",1;""Feb"",2;""mar."",3;""Apr"",4;""May"",5;""jun."",6;""jul."",7;""Aug"",8;""sep"",9;""Oct"",10;""nov."",11;""Dec"",12},2,FALSE),
      INDEX(SPL"&amp;"IT(O38,"" ""),2)
    ),
    ""dd/mm/yyyy""
  ),
"""")"),"27/03/2026")</f>
        <v>27/03/2026</v>
      </c>
    </row>
    <row r="39">
      <c r="A39" s="85" t="s">
        <v>989</v>
      </c>
      <c r="B39" s="85" t="s">
        <v>990</v>
      </c>
      <c r="C39" s="86" t="s">
        <v>937</v>
      </c>
      <c r="D39" s="86" t="s">
        <v>388</v>
      </c>
      <c r="E39" s="87"/>
      <c r="F39" s="86" t="s">
        <v>141</v>
      </c>
      <c r="G39" s="86" t="s">
        <v>389</v>
      </c>
      <c r="H39" s="87"/>
      <c r="I39" s="87"/>
      <c r="J39" s="86" t="s">
        <v>389</v>
      </c>
      <c r="K39" s="86" t="s">
        <v>390</v>
      </c>
      <c r="L39" s="86" t="s">
        <v>391</v>
      </c>
      <c r="M39" s="86" t="s">
        <v>991</v>
      </c>
      <c r="N39" s="86" t="s">
        <v>992</v>
      </c>
      <c r="O39" s="86" t="s">
        <v>993</v>
      </c>
      <c r="P39" s="89" t="str">
        <f>IFERROR(__xludf.DUMMYFUNCTION("IFERROR(
  TEXT(
    DATE(
      INDEX(SPLIT(O39,"" ""),3),
      VLOOKUP(INDEX(SPLIT(O39,"" ""),1),{""jan."",1;""Feb"",2;""mar."",3;""Apr"",4;""May"",5;""jun."",6;""jul."",7;""Aug"",8;""sep"",9;""Oct"",10;""nov."",11;""Dec"",12},2,FALSE),
      INDEX(SPL"&amp;"IT(O39,"" ""),2)
    ),
    ""dd/mm/yyyy""
  ),
"""")"),"08/04/2026")</f>
        <v>08/04/2026</v>
      </c>
    </row>
    <row r="40">
      <c r="A40" s="85" t="s">
        <v>994</v>
      </c>
      <c r="B40" s="85" t="s">
        <v>995</v>
      </c>
      <c r="C40" s="86" t="s">
        <v>937</v>
      </c>
      <c r="D40" s="86" t="s">
        <v>388</v>
      </c>
      <c r="E40" s="87"/>
      <c r="F40" s="86" t="s">
        <v>339</v>
      </c>
      <c r="G40" s="86" t="s">
        <v>389</v>
      </c>
      <c r="H40" s="87"/>
      <c r="I40" s="87"/>
      <c r="J40" s="86" t="s">
        <v>389</v>
      </c>
      <c r="K40" s="86" t="s">
        <v>390</v>
      </c>
      <c r="L40" s="86" t="s">
        <v>391</v>
      </c>
      <c r="M40" s="86" t="s">
        <v>392</v>
      </c>
      <c r="N40" s="86" t="s">
        <v>996</v>
      </c>
      <c r="O40" s="86" t="s">
        <v>997</v>
      </c>
      <c r="P40" s="89" t="str">
        <f>IFERROR(__xludf.DUMMYFUNCTION("IFERROR(
  TEXT(
    DATE(
      INDEX(SPLIT(O40,"" ""),3),
      VLOOKUP(INDEX(SPLIT(O40,"" ""),1),{""jan."",1;""Feb"",2;""mar."",3;""Apr"",4;""May"",5;""jun."",6;""jul."",7;""Aug"",8;""sep"",9;""Oct"",10;""nov."",11;""Dec"",12},2,FALSE),
      INDEX(SPL"&amp;"IT(O40,"" ""),2)
    ),
    ""dd/mm/yyyy""
  ),
"""")"),"10/04/2026")</f>
        <v>10/04/2026</v>
      </c>
    </row>
    <row r="41">
      <c r="A41" s="85" t="s">
        <v>998</v>
      </c>
      <c r="B41" s="85" t="s">
        <v>999</v>
      </c>
      <c r="C41" s="86" t="s">
        <v>937</v>
      </c>
      <c r="D41" s="86" t="s">
        <v>388</v>
      </c>
      <c r="E41" s="87"/>
      <c r="F41" s="86" t="s">
        <v>141</v>
      </c>
      <c r="G41" s="86" t="s">
        <v>389</v>
      </c>
      <c r="H41" s="87"/>
      <c r="I41" s="87"/>
      <c r="J41" s="86" t="s">
        <v>389</v>
      </c>
      <c r="K41" s="86" t="s">
        <v>390</v>
      </c>
      <c r="L41" s="86" t="s">
        <v>391</v>
      </c>
      <c r="M41" s="86" t="s">
        <v>392</v>
      </c>
      <c r="N41" s="86" t="s">
        <v>1000</v>
      </c>
      <c r="O41" s="86" t="s">
        <v>1001</v>
      </c>
      <c r="P41" s="89" t="str">
        <f>IFERROR(__xludf.DUMMYFUNCTION("IFERROR(
  TEXT(
    DATE(
      INDEX(SPLIT(O41,"" ""),3),
      VLOOKUP(INDEX(SPLIT(O41,"" ""),1),{""jan."",1;""Feb"",2;""mar."",3;""Apr"",4;""May"",5;""jun."",6;""jul."",7;""Aug"",8;""sep"",9;""Oct"",10;""nov."",11;""Dec"",12},2,FALSE),
      INDEX(SPL"&amp;"IT(O41,"" ""),2)
    ),
    ""dd/mm/yyyy""
  ),
"""")"),"05/05/2026")</f>
        <v>05/05/2026</v>
      </c>
    </row>
    <row r="42">
      <c r="A42" s="85" t="s">
        <v>1002</v>
      </c>
      <c r="B42" s="85" t="s">
        <v>1003</v>
      </c>
      <c r="C42" s="86" t="s">
        <v>937</v>
      </c>
      <c r="D42" s="86" t="s">
        <v>388</v>
      </c>
      <c r="E42" s="87"/>
      <c r="F42" s="86" t="s">
        <v>71</v>
      </c>
      <c r="G42" s="86" t="s">
        <v>389</v>
      </c>
      <c r="H42" s="87"/>
      <c r="I42" s="87"/>
      <c r="J42" s="86" t="s">
        <v>389</v>
      </c>
      <c r="K42" s="86" t="s">
        <v>390</v>
      </c>
      <c r="L42" s="86" t="s">
        <v>391</v>
      </c>
      <c r="M42" s="86" t="s">
        <v>392</v>
      </c>
      <c r="N42" s="86" t="s">
        <v>1004</v>
      </c>
      <c r="O42" s="86" t="s">
        <v>1005</v>
      </c>
      <c r="P42" s="89" t="str">
        <f>IFERROR(__xludf.DUMMYFUNCTION("IFERROR(
  TEXT(
    DATE(
      INDEX(SPLIT(O42,"" ""),3),
      VLOOKUP(INDEX(SPLIT(O42,"" ""),1),{""jan."",1;""Feb"",2;""mar."",3;""Apr"",4;""May"",5;""jun."",6;""jul."",7;""Aug"",8;""sep"",9;""Oct"",10;""nov."",11;""Dec"",12},2,FALSE),
      INDEX(SPL"&amp;"IT(O42,"" ""),2)
    ),
    ""dd/mm/yyyy""
  ),
"""")"),"10/04/2026")</f>
        <v>10/04/2026</v>
      </c>
    </row>
    <row r="43">
      <c r="A43" s="85" t="s">
        <v>1006</v>
      </c>
      <c r="B43" s="85" t="s">
        <v>1007</v>
      </c>
      <c r="C43" s="86" t="s">
        <v>937</v>
      </c>
      <c r="D43" s="86" t="s">
        <v>388</v>
      </c>
      <c r="E43" s="87"/>
      <c r="F43" s="86" t="s">
        <v>189</v>
      </c>
      <c r="G43" s="86" t="s">
        <v>389</v>
      </c>
      <c r="H43" s="87"/>
      <c r="I43" s="87"/>
      <c r="J43" s="86" t="s">
        <v>389</v>
      </c>
      <c r="K43" s="86" t="s">
        <v>390</v>
      </c>
      <c r="L43" s="86" t="s">
        <v>391</v>
      </c>
      <c r="M43" s="86" t="s">
        <v>392</v>
      </c>
      <c r="N43" s="86" t="s">
        <v>1008</v>
      </c>
      <c r="O43" s="86" t="s">
        <v>1009</v>
      </c>
      <c r="P43" s="89" t="str">
        <f>IFERROR(__xludf.DUMMYFUNCTION("IFERROR(
  TEXT(
    DATE(
      INDEX(SPLIT(O43,"" ""),3),
      VLOOKUP(INDEX(SPLIT(O43,"" ""),1),{""jan."",1;""Feb"",2;""mar."",3;""Apr"",4;""May"",5;""jun."",6;""jul."",7;""Aug"",8;""sep"",9;""Oct"",10;""nov."",11;""Dec"",12},2,FALSE),
      INDEX(SPL"&amp;"IT(O43,"" ""),2)
    ),
    ""dd/mm/yyyy""
  ),
"""")"),"07/04/2026")</f>
        <v>07/04/2026</v>
      </c>
    </row>
    <row r="44">
      <c r="A44" s="85" t="s">
        <v>1010</v>
      </c>
      <c r="B44" s="85" t="s">
        <v>1011</v>
      </c>
      <c r="C44" s="86" t="s">
        <v>937</v>
      </c>
      <c r="D44" s="86" t="s">
        <v>388</v>
      </c>
      <c r="E44" s="87"/>
      <c r="F44" s="86" t="s">
        <v>292</v>
      </c>
      <c r="G44" s="86" t="s">
        <v>389</v>
      </c>
      <c r="H44" s="87"/>
      <c r="I44" s="87"/>
      <c r="J44" s="86" t="s">
        <v>389</v>
      </c>
      <c r="K44" s="86" t="s">
        <v>390</v>
      </c>
      <c r="L44" s="86" t="s">
        <v>391</v>
      </c>
      <c r="M44" s="86" t="s">
        <v>392</v>
      </c>
      <c r="N44" s="86" t="s">
        <v>1012</v>
      </c>
      <c r="O44" s="88">
        <v>46052.49375</v>
      </c>
      <c r="P44" s="89" t="str">
        <f>IFERROR(__xludf.DUMMYFUNCTION("IFERROR(
  TEXT(
    DATE(
      INDEX(SPLIT(O44,"" ""),3),
      VLOOKUP(INDEX(SPLIT(O44,"" ""),1),{""jan."",1;""Feb"",2;""mar."",3;""Apr"",4;""May"",5;""jun."",6;""jul."",7;""Aug"",8;""sep"",9;""Oct"",10;""nov."",11;""Dec"",12},2,FALSE),
      INDEX(SPL"&amp;"IT(O44,"" ""),2)
    ),
    ""dd/mm/yyyy""
  ),
"""")"),"30/01/2026")</f>
        <v>30/01/2026</v>
      </c>
    </row>
    <row r="45">
      <c r="A45" s="85" t="s">
        <v>1013</v>
      </c>
      <c r="B45" s="85" t="s">
        <v>1014</v>
      </c>
      <c r="C45" s="86" t="s">
        <v>937</v>
      </c>
      <c r="D45" s="86" t="s">
        <v>388</v>
      </c>
      <c r="E45" s="87"/>
      <c r="F45" s="86" t="s">
        <v>292</v>
      </c>
      <c r="G45" s="86" t="s">
        <v>389</v>
      </c>
      <c r="H45" s="87"/>
      <c r="I45" s="87"/>
      <c r="J45" s="86" t="s">
        <v>389</v>
      </c>
      <c r="K45" s="86" t="s">
        <v>390</v>
      </c>
      <c r="L45" s="86" t="s">
        <v>391</v>
      </c>
      <c r="M45" s="86" t="s">
        <v>392</v>
      </c>
      <c r="N45" s="86" t="s">
        <v>1015</v>
      </c>
      <c r="O45" s="88">
        <v>46099.42847222222</v>
      </c>
      <c r="P45" s="89" t="str">
        <f>IFERROR(__xludf.DUMMYFUNCTION("IFERROR(
  TEXT(
    DATE(
      INDEX(SPLIT(O45,"" ""),3),
      VLOOKUP(INDEX(SPLIT(O45,"" ""),1),{""jan."",1;""Feb"",2;""mar."",3;""Apr"",4;""May"",5;""jun."",6;""jul."",7;""Aug"",8;""sep"",9;""Oct"",10;""nov."",11;""Dec"",12},2,FALSE),
      INDEX(SPL"&amp;"IT(O45,"" ""),2)
    ),
    ""dd/mm/yyyy""
  ),
"""")"),"18/03/2026")</f>
        <v>18/03/2026</v>
      </c>
    </row>
    <row r="46">
      <c r="A46" s="85" t="s">
        <v>1016</v>
      </c>
      <c r="B46" s="85" t="s">
        <v>1017</v>
      </c>
      <c r="C46" s="86" t="s">
        <v>937</v>
      </c>
      <c r="D46" s="86" t="s">
        <v>388</v>
      </c>
      <c r="E46" s="87"/>
      <c r="F46" s="86" t="s">
        <v>1018</v>
      </c>
      <c r="G46" s="86" t="s">
        <v>389</v>
      </c>
      <c r="H46" s="87"/>
      <c r="I46" s="87"/>
      <c r="J46" s="86" t="s">
        <v>389</v>
      </c>
      <c r="K46" s="86" t="s">
        <v>390</v>
      </c>
      <c r="L46" s="86" t="s">
        <v>391</v>
      </c>
      <c r="M46" s="86" t="s">
        <v>392</v>
      </c>
      <c r="N46" s="86" t="s">
        <v>1019</v>
      </c>
      <c r="O46" s="88">
        <v>46107.748611111114</v>
      </c>
      <c r="P46" s="89" t="str">
        <f>IFERROR(__xludf.DUMMYFUNCTION("IFERROR(
  TEXT(
    DATE(
      INDEX(SPLIT(O46,"" ""),3),
      VLOOKUP(INDEX(SPLIT(O46,"" ""),1),{""jan."",1;""Feb"",2;""mar."",3;""Apr"",4;""May"",5;""jun."",6;""jul."",7;""Aug"",8;""sep"",9;""Oct"",10;""nov."",11;""Dec"",12},2,FALSE),
      INDEX(SPL"&amp;"IT(O46,"" ""),2)
    ),
    ""dd/mm/yyyy""
  ),
"""")"),"26/03/2026")</f>
        <v>26/03/2026</v>
      </c>
    </row>
    <row r="47">
      <c r="A47" s="85" t="s">
        <v>1020</v>
      </c>
      <c r="B47" s="85" t="s">
        <v>1021</v>
      </c>
      <c r="C47" s="86" t="s">
        <v>937</v>
      </c>
      <c r="D47" s="86" t="s">
        <v>388</v>
      </c>
      <c r="E47" s="87"/>
      <c r="F47" s="86" t="s">
        <v>339</v>
      </c>
      <c r="G47" s="86" t="s">
        <v>389</v>
      </c>
      <c r="H47" s="87"/>
      <c r="I47" s="87"/>
      <c r="J47" s="86" t="s">
        <v>389</v>
      </c>
      <c r="K47" s="86" t="s">
        <v>390</v>
      </c>
      <c r="L47" s="86" t="s">
        <v>391</v>
      </c>
      <c r="M47" s="86" t="s">
        <v>392</v>
      </c>
      <c r="N47" s="86" t="s">
        <v>444</v>
      </c>
      <c r="O47" s="86" t="s">
        <v>1022</v>
      </c>
      <c r="P47" s="89" t="str">
        <f>IFERROR(__xludf.DUMMYFUNCTION("IFERROR(
  TEXT(
    DATE(
      INDEX(SPLIT(O47,"" ""),3),
      VLOOKUP(INDEX(SPLIT(O47,"" ""),1),{""jan."",1;""Feb"",2;""mar."",3;""Apr"",4;""May"",5;""jun."",6;""jul."",7;""Aug"",8;""sep"",9;""Oct"",10;""nov."",11;""Dec"",12},2,FALSE),
      INDEX(SPL"&amp;"IT(O47,"" ""),2)
    ),
    ""dd/mm/yyyy""
  ),
"""")"),"28/02/2026")</f>
        <v>28/02/2026</v>
      </c>
    </row>
    <row r="48">
      <c r="A48" s="85" t="s">
        <v>1023</v>
      </c>
      <c r="B48" s="85" t="s">
        <v>1024</v>
      </c>
      <c r="C48" s="90"/>
      <c r="D48" s="90"/>
      <c r="E48" s="87"/>
      <c r="F48" s="86" t="s">
        <v>243</v>
      </c>
      <c r="G48" s="86" t="s">
        <v>389</v>
      </c>
      <c r="H48" s="87"/>
      <c r="I48" s="87"/>
      <c r="J48" s="86" t="s">
        <v>389</v>
      </c>
      <c r="K48" s="86" t="s">
        <v>390</v>
      </c>
      <c r="L48" s="86" t="s">
        <v>391</v>
      </c>
      <c r="M48" s="86" t="s">
        <v>392</v>
      </c>
      <c r="N48" s="86" t="s">
        <v>1025</v>
      </c>
      <c r="O48" s="86" t="s">
        <v>1026</v>
      </c>
      <c r="P48" s="89" t="str">
        <f>IFERROR(__xludf.DUMMYFUNCTION("IFERROR(
  TEXT(
    DATE(
      INDEX(SPLIT(O48,"" ""),3),
      VLOOKUP(INDEX(SPLIT(O48,"" ""),1),{""jan."",1;""Feb"",2;""mar."",3;""Apr"",4;""May"",5;""jun."",6;""jul."",7;""Aug"",8;""sep"",9;""Oct"",10;""nov."",11;""Dec"",12},2,FALSE),
      INDEX(SPL"&amp;"IT(O48,"" ""),2)
    ),
    ""dd/mm/yyyy""
  ),
"""")"),"11/05/2026")</f>
        <v>11/05/2026</v>
      </c>
    </row>
    <row r="49">
      <c r="A49" s="85" t="s">
        <v>1027</v>
      </c>
      <c r="B49" s="85" t="s">
        <v>1028</v>
      </c>
      <c r="C49" s="86" t="s">
        <v>1029</v>
      </c>
      <c r="D49" s="86" t="s">
        <v>388</v>
      </c>
      <c r="E49" s="87"/>
      <c r="F49" s="86" t="s">
        <v>243</v>
      </c>
      <c r="G49" s="86" t="s">
        <v>389</v>
      </c>
      <c r="H49" s="87"/>
      <c r="I49" s="87"/>
      <c r="J49" s="86" t="s">
        <v>389</v>
      </c>
      <c r="K49" s="86" t="s">
        <v>390</v>
      </c>
      <c r="L49" s="86" t="s">
        <v>391</v>
      </c>
      <c r="M49" s="86" t="s">
        <v>392</v>
      </c>
      <c r="N49" s="86" t="s">
        <v>1030</v>
      </c>
      <c r="O49" s="86" t="s">
        <v>1026</v>
      </c>
      <c r="P49" s="89" t="str">
        <f>IFERROR(__xludf.DUMMYFUNCTION("IFERROR(
  TEXT(
    DATE(
      INDEX(SPLIT(O49,"" ""),3),
      VLOOKUP(INDEX(SPLIT(O49,"" ""),1),{""jan."",1;""Feb"",2;""mar."",3;""Apr"",4;""May"",5;""jun."",6;""jul."",7;""Aug"",8;""sep"",9;""Oct"",10;""nov."",11;""Dec"",12},2,FALSE),
      INDEX(SPL"&amp;"IT(O49,"" ""),2)
    ),
    ""dd/mm/yyyy""
  ),
"""")"),"11/05/2026")</f>
        <v>11/05/2026</v>
      </c>
    </row>
    <row r="50">
      <c r="A50" s="85" t="s">
        <v>1031</v>
      </c>
      <c r="B50" s="85" t="s">
        <v>1032</v>
      </c>
      <c r="C50" s="86" t="s">
        <v>937</v>
      </c>
      <c r="D50" s="86" t="s">
        <v>388</v>
      </c>
      <c r="E50" s="87"/>
      <c r="F50" s="86" t="s">
        <v>1033</v>
      </c>
      <c r="G50" s="86" t="s">
        <v>389</v>
      </c>
      <c r="H50" s="87"/>
      <c r="I50" s="87"/>
      <c r="J50" s="86" t="s">
        <v>389</v>
      </c>
      <c r="K50" s="86" t="s">
        <v>390</v>
      </c>
      <c r="L50" s="86" t="s">
        <v>391</v>
      </c>
      <c r="M50" s="86" t="s">
        <v>392</v>
      </c>
      <c r="N50" s="86" t="s">
        <v>1034</v>
      </c>
      <c r="O50" s="88">
        <v>46083.677777777775</v>
      </c>
      <c r="P50" s="89" t="str">
        <f>IFERROR(__xludf.DUMMYFUNCTION("IFERROR(
  TEXT(
    DATE(
      INDEX(SPLIT(O50,"" ""),3),
      VLOOKUP(INDEX(SPLIT(O50,"" ""),1),{""jan."",1;""Feb"",2;""mar."",3;""Apr"",4;""May"",5;""jun."",6;""jul."",7;""Aug"",8;""sep"",9;""Oct"",10;""nov."",11;""Dec"",12},2,FALSE),
      INDEX(SPL"&amp;"IT(O50,"" ""),2)
    ),
    ""dd/mm/yyyy""
  ),
"""")"),"02/03/2026")</f>
        <v>02/03/2026</v>
      </c>
    </row>
    <row r="51">
      <c r="A51" s="85" t="s">
        <v>1035</v>
      </c>
      <c r="B51" s="85" t="s">
        <v>1036</v>
      </c>
      <c r="C51" s="90"/>
      <c r="D51" s="90"/>
      <c r="E51" s="87"/>
      <c r="F51" s="86" t="s">
        <v>1037</v>
      </c>
      <c r="G51" s="86" t="s">
        <v>389</v>
      </c>
      <c r="H51" s="87"/>
      <c r="I51" s="87"/>
      <c r="J51" s="86" t="s">
        <v>389</v>
      </c>
      <c r="K51" s="86" t="s">
        <v>390</v>
      </c>
      <c r="L51" s="86" t="s">
        <v>391</v>
      </c>
      <c r="M51" s="86" t="s">
        <v>392</v>
      </c>
      <c r="N51" s="86" t="s">
        <v>1038</v>
      </c>
      <c r="O51" s="86" t="s">
        <v>1039</v>
      </c>
      <c r="P51" s="89" t="str">
        <f>IFERROR(__xludf.DUMMYFUNCTION("IFERROR(
  TEXT(
    DATE(
      INDEX(SPLIT(O51,"" ""),3),
      VLOOKUP(INDEX(SPLIT(O51,"" ""),1),{""jan."",1;""Feb"",2;""mar."",3;""Apr"",4;""May"",5;""jun."",6;""jul."",7;""Aug"",8;""sep"",9;""Oct"",10;""nov."",11;""Dec"",12},2,FALSE),
      INDEX(SPL"&amp;"IT(O51,"" ""),2)
    ),
    ""dd/mm/yyyy""
  ),
"""")"),"06/05/2026")</f>
        <v>06/05/2026</v>
      </c>
    </row>
    <row r="52">
      <c r="A52" s="85" t="s">
        <v>1040</v>
      </c>
      <c r="B52" s="85" t="s">
        <v>1041</v>
      </c>
      <c r="C52" s="90"/>
      <c r="D52" s="90"/>
      <c r="E52" s="87"/>
      <c r="F52" s="86" t="s">
        <v>1037</v>
      </c>
      <c r="G52" s="86" t="s">
        <v>389</v>
      </c>
      <c r="H52" s="87"/>
      <c r="I52" s="87"/>
      <c r="J52" s="86" t="s">
        <v>389</v>
      </c>
      <c r="K52" s="86" t="s">
        <v>390</v>
      </c>
      <c r="L52" s="86" t="s">
        <v>391</v>
      </c>
      <c r="M52" s="86" t="s">
        <v>392</v>
      </c>
      <c r="N52" s="86" t="s">
        <v>1042</v>
      </c>
      <c r="O52" s="86" t="s">
        <v>1043</v>
      </c>
      <c r="P52" s="89" t="str">
        <f>IFERROR(__xludf.DUMMYFUNCTION("IFERROR(
  TEXT(
    DATE(
      INDEX(SPLIT(O52,"" ""),3),
      VLOOKUP(INDEX(SPLIT(O52,"" ""),1),{""jan."",1;""Feb"",2;""mar."",3;""Apr"",4;""May"",5;""jun."",6;""jul."",7;""Aug"",8;""sep"",9;""Oct"",10;""nov."",11;""Dec"",12},2,FALSE),
      INDEX(SPL"&amp;"IT(O52,"" ""),2)
    ),
    ""dd/mm/yyyy""
  ),
"""")"),"08/04/2026")</f>
        <v>08/04/2026</v>
      </c>
    </row>
    <row r="53">
      <c r="A53" s="85" t="s">
        <v>1044</v>
      </c>
      <c r="B53" s="85" t="s">
        <v>1045</v>
      </c>
      <c r="C53" s="90"/>
      <c r="D53" s="90"/>
      <c r="E53" s="87"/>
      <c r="F53" s="86" t="s">
        <v>141</v>
      </c>
      <c r="G53" s="86" t="s">
        <v>389</v>
      </c>
      <c r="H53" s="87"/>
      <c r="I53" s="87"/>
      <c r="J53" s="86" t="s">
        <v>389</v>
      </c>
      <c r="K53" s="86" t="s">
        <v>390</v>
      </c>
      <c r="L53" s="86" t="s">
        <v>391</v>
      </c>
      <c r="M53" s="86" t="s">
        <v>392</v>
      </c>
      <c r="N53" s="86" t="s">
        <v>1046</v>
      </c>
      <c r="O53" s="88">
        <v>46102.44583333333</v>
      </c>
      <c r="P53" s="89" t="str">
        <f>IFERROR(__xludf.DUMMYFUNCTION("IFERROR(
  TEXT(
    DATE(
      INDEX(SPLIT(O53,"" ""),3),
      VLOOKUP(INDEX(SPLIT(O53,"" ""),1),{""jan."",1;""Feb"",2;""mar."",3;""Apr"",4;""May"",5;""jun."",6;""jul."",7;""Aug"",8;""sep"",9;""Oct"",10;""nov."",11;""Dec"",12},2,FALSE),
      INDEX(SPL"&amp;"IT(O53,"" ""),2)
    ),
    ""dd/mm/yyyy""
  ),
"""")"),"21/03/2026")</f>
        <v>21/03/2026</v>
      </c>
    </row>
    <row r="54">
      <c r="A54" s="85" t="s">
        <v>1047</v>
      </c>
      <c r="B54" s="85" t="s">
        <v>1048</v>
      </c>
      <c r="C54" s="90"/>
      <c r="D54" s="90"/>
      <c r="E54" s="87"/>
      <c r="F54" s="86" t="s">
        <v>176</v>
      </c>
      <c r="G54" s="86" t="s">
        <v>389</v>
      </c>
      <c r="H54" s="87"/>
      <c r="I54" s="87"/>
      <c r="J54" s="86" t="s">
        <v>389</v>
      </c>
      <c r="K54" s="86" t="s">
        <v>390</v>
      </c>
      <c r="L54" s="86" t="s">
        <v>391</v>
      </c>
      <c r="M54" s="86" t="s">
        <v>392</v>
      </c>
      <c r="N54" s="86" t="s">
        <v>1049</v>
      </c>
      <c r="O54" s="86" t="s">
        <v>1050</v>
      </c>
      <c r="P54" s="89" t="str">
        <f>IFERROR(__xludf.DUMMYFUNCTION("IFERROR(
  TEXT(
    DATE(
      INDEX(SPLIT(O54,"" ""),3),
      VLOOKUP(INDEX(SPLIT(O54,"" ""),1),{""jan."",1;""Feb"",2;""mar."",3;""Apr"",4;""May"",5;""jun."",6;""jul."",7;""Aug"",8;""sep"",9;""Oct"",10;""nov."",11;""Dec"",12},2,FALSE),
      INDEX(SPL"&amp;"IT(O54,"" ""),2)
    ),
    ""dd/mm/yyyy""
  ),
"""")"),"30/04/2026")</f>
        <v>30/04/2026</v>
      </c>
    </row>
    <row r="55">
      <c r="A55" s="85" t="s">
        <v>1051</v>
      </c>
      <c r="B55" s="85" t="s">
        <v>1052</v>
      </c>
      <c r="C55" s="86" t="s">
        <v>937</v>
      </c>
      <c r="D55" s="86" t="s">
        <v>388</v>
      </c>
      <c r="E55" s="87"/>
      <c r="F55" s="86" t="s">
        <v>122</v>
      </c>
      <c r="G55" s="86" t="s">
        <v>389</v>
      </c>
      <c r="H55" s="87"/>
      <c r="I55" s="87"/>
      <c r="J55" s="86" t="s">
        <v>389</v>
      </c>
      <c r="K55" s="86" t="s">
        <v>390</v>
      </c>
      <c r="L55" s="86" t="s">
        <v>391</v>
      </c>
      <c r="M55" s="86" t="s">
        <v>392</v>
      </c>
      <c r="N55" s="86" t="s">
        <v>1053</v>
      </c>
      <c r="O55" s="86" t="s">
        <v>1054</v>
      </c>
      <c r="P55" s="89" t="str">
        <f>IFERROR(__xludf.DUMMYFUNCTION("IFERROR(
  TEXT(
    DATE(
      INDEX(SPLIT(O55,"" ""),3),
      VLOOKUP(INDEX(SPLIT(O55,"" ""),1),{""jan."",1;""Feb"",2;""mar."",3;""Apr"",4;""May"",5;""jun."",6;""jul."",7;""Aug"",8;""sep"",9;""Oct"",10;""nov."",11;""Dec"",12},2,FALSE),
      INDEX(SPL"&amp;"IT(O55,"" ""),2)
    ),
    ""dd/mm/yyyy""
  ),
"""")"),"06/05/2026")</f>
        <v>06/05/2026</v>
      </c>
    </row>
    <row r="56">
      <c r="A56" s="85" t="s">
        <v>1055</v>
      </c>
      <c r="B56" s="85" t="s">
        <v>1056</v>
      </c>
      <c r="C56" s="86" t="s">
        <v>937</v>
      </c>
      <c r="D56" s="86" t="s">
        <v>388</v>
      </c>
      <c r="E56" s="87"/>
      <c r="F56" s="86" t="s">
        <v>200</v>
      </c>
      <c r="G56" s="86" t="s">
        <v>389</v>
      </c>
      <c r="H56" s="87"/>
      <c r="I56" s="87"/>
      <c r="J56" s="86" t="s">
        <v>389</v>
      </c>
      <c r="K56" s="86" t="s">
        <v>390</v>
      </c>
      <c r="L56" s="86" t="s">
        <v>391</v>
      </c>
      <c r="M56" s="86" t="s">
        <v>392</v>
      </c>
      <c r="N56" s="86" t="s">
        <v>1057</v>
      </c>
      <c r="O56" s="86" t="s">
        <v>1058</v>
      </c>
      <c r="P56" s="89" t="str">
        <f>IFERROR(__xludf.DUMMYFUNCTION("IFERROR(
  TEXT(
    DATE(
      INDEX(SPLIT(O56,"" ""),3),
      VLOOKUP(INDEX(SPLIT(O56,"" ""),1),{""jan."",1;""Feb"",2;""mar."",3;""Apr"",4;""May"",5;""jun."",6;""jul."",7;""Aug"",8;""sep"",9;""Oct"",10;""nov."",11;""Dec"",12},2,FALSE),
      INDEX(SPL"&amp;"IT(O56,"" ""),2)
    ),
    ""dd/mm/yyyy""
  ),
"""")"),"08/04/2026")</f>
        <v>08/04/2026</v>
      </c>
    </row>
    <row r="57">
      <c r="A57" s="85" t="s">
        <v>1059</v>
      </c>
      <c r="B57" s="85" t="s">
        <v>1060</v>
      </c>
      <c r="C57" s="86" t="s">
        <v>937</v>
      </c>
      <c r="D57" s="86" t="s">
        <v>388</v>
      </c>
      <c r="E57" s="87"/>
      <c r="F57" s="86" t="s">
        <v>117</v>
      </c>
      <c r="G57" s="86" t="s">
        <v>389</v>
      </c>
      <c r="H57" s="87"/>
      <c r="I57" s="87"/>
      <c r="J57" s="86" t="s">
        <v>389</v>
      </c>
      <c r="K57" s="86" t="s">
        <v>390</v>
      </c>
      <c r="L57" s="86" t="s">
        <v>391</v>
      </c>
      <c r="M57" s="86" t="s">
        <v>392</v>
      </c>
      <c r="N57" s="86" t="s">
        <v>1061</v>
      </c>
      <c r="O57" s="88">
        <v>46102.45694444444</v>
      </c>
      <c r="P57" s="89" t="str">
        <f>IFERROR(__xludf.DUMMYFUNCTION("IFERROR(
  TEXT(
    DATE(
      INDEX(SPLIT(O57,"" ""),3),
      VLOOKUP(INDEX(SPLIT(O57,"" ""),1),{""jan."",1;""Feb"",2;""mar."",3;""Apr"",4;""May"",5;""jun."",6;""jul."",7;""Aug"",8;""sep"",9;""Oct"",10;""nov."",11;""Dec"",12},2,FALSE),
      INDEX(SPL"&amp;"IT(O57,"" ""),2)
    ),
    ""dd/mm/yyyy""
  ),
"""")"),"21/03/2026")</f>
        <v>21/03/2026</v>
      </c>
    </row>
    <row r="58">
      <c r="A58" s="85" t="s">
        <v>1062</v>
      </c>
      <c r="B58" s="85" t="s">
        <v>1063</v>
      </c>
      <c r="C58" s="86" t="s">
        <v>937</v>
      </c>
      <c r="D58" s="86" t="s">
        <v>388</v>
      </c>
      <c r="E58" s="87"/>
      <c r="F58" s="86" t="s">
        <v>200</v>
      </c>
      <c r="G58" s="86" t="s">
        <v>389</v>
      </c>
      <c r="H58" s="87"/>
      <c r="I58" s="87"/>
      <c r="J58" s="86" t="s">
        <v>389</v>
      </c>
      <c r="K58" s="86" t="s">
        <v>390</v>
      </c>
      <c r="L58" s="86" t="s">
        <v>391</v>
      </c>
      <c r="M58" s="86" t="s">
        <v>392</v>
      </c>
      <c r="N58" s="86" t="s">
        <v>1064</v>
      </c>
      <c r="O58" s="86" t="s">
        <v>1050</v>
      </c>
      <c r="P58" s="89" t="str">
        <f>IFERROR(__xludf.DUMMYFUNCTION("IFERROR(
  TEXT(
    DATE(
      INDEX(SPLIT(O58,"" ""),3),
      VLOOKUP(INDEX(SPLIT(O58,"" ""),1),{""jan."",1;""Feb"",2;""mar."",3;""Apr"",4;""May"",5;""jun."",6;""jul."",7;""Aug"",8;""sep"",9;""Oct"",10;""nov."",11;""Dec"",12},2,FALSE),
      INDEX(SPL"&amp;"IT(O58,"" ""),2)
    ),
    ""dd/mm/yyyy""
  ),
"""")"),"30/04/2026")</f>
        <v>30/04/2026</v>
      </c>
    </row>
    <row r="59">
      <c r="A59" s="85" t="s">
        <v>1065</v>
      </c>
      <c r="B59" s="85" t="s">
        <v>1066</v>
      </c>
      <c r="C59" s="90"/>
      <c r="D59" s="90"/>
      <c r="E59" s="87"/>
      <c r="F59" s="86" t="s">
        <v>1067</v>
      </c>
      <c r="G59" s="86" t="s">
        <v>389</v>
      </c>
      <c r="H59" s="87"/>
      <c r="I59" s="87"/>
      <c r="J59" s="86" t="s">
        <v>389</v>
      </c>
      <c r="K59" s="86" t="s">
        <v>390</v>
      </c>
      <c r="L59" s="86" t="s">
        <v>391</v>
      </c>
      <c r="M59" s="86" t="s">
        <v>392</v>
      </c>
      <c r="N59" s="86" t="s">
        <v>1068</v>
      </c>
      <c r="O59" s="86" t="s">
        <v>1069</v>
      </c>
      <c r="P59" s="89" t="str">
        <f>IFERROR(__xludf.DUMMYFUNCTION("IFERROR(
  TEXT(
    DATE(
      INDEX(SPLIT(O59,"" ""),3),
      VLOOKUP(INDEX(SPLIT(O59,"" ""),1),{""jan."",1;""Feb"",2;""mar."",3;""Apr"",4;""May"",5;""jun."",6;""jul."",7;""Aug"",8;""sep"",9;""Oct"",10;""nov."",11;""Dec"",12},2,FALSE),
      INDEX(SPL"&amp;"IT(O59,"" ""),2)
    ),
    ""dd/mm/yyyy""
  ),
"""")"),"17/04/2026")</f>
        <v>17/04/2026</v>
      </c>
    </row>
    <row r="60">
      <c r="A60" s="85" t="s">
        <v>1070</v>
      </c>
      <c r="B60" s="85" t="s">
        <v>1071</v>
      </c>
      <c r="C60" s="90"/>
      <c r="D60" s="90"/>
      <c r="E60" s="87"/>
      <c r="F60" s="86" t="s">
        <v>234</v>
      </c>
      <c r="G60" s="86" t="s">
        <v>389</v>
      </c>
      <c r="H60" s="87"/>
      <c r="I60" s="87"/>
      <c r="J60" s="86" t="s">
        <v>389</v>
      </c>
      <c r="K60" s="86" t="s">
        <v>390</v>
      </c>
      <c r="L60" s="86" t="s">
        <v>391</v>
      </c>
      <c r="M60" s="86" t="s">
        <v>392</v>
      </c>
      <c r="N60" s="86" t="s">
        <v>1072</v>
      </c>
      <c r="O60" s="86" t="s">
        <v>1073</v>
      </c>
      <c r="P60" s="89" t="str">
        <f>IFERROR(__xludf.DUMMYFUNCTION("IFERROR(
  TEXT(
    DATE(
      INDEX(SPLIT(O60,"" ""),3),
      VLOOKUP(INDEX(SPLIT(O60,"" ""),1),{""jan."",1;""Feb"",2;""mar."",3;""Apr"",4;""May"",5;""jun."",6;""jul."",7;""Aug"",8;""sep"",9;""Oct"",10;""nov."",11;""Dec"",12},2,FALSE),
      INDEX(SPL"&amp;"IT(O60,"" ""),2)
    ),
    ""dd/mm/yyyy""
  ),
"""")"),"16/04/2026")</f>
        <v>16/04/2026</v>
      </c>
    </row>
    <row r="61">
      <c r="A61" s="85" t="s">
        <v>1074</v>
      </c>
      <c r="B61" s="85" t="s">
        <v>1075</v>
      </c>
      <c r="C61" s="90"/>
      <c r="D61" s="90"/>
      <c r="E61" s="87"/>
      <c r="F61" s="86" t="s">
        <v>234</v>
      </c>
      <c r="G61" s="86" t="s">
        <v>389</v>
      </c>
      <c r="H61" s="87"/>
      <c r="I61" s="87"/>
      <c r="J61" s="86" t="s">
        <v>389</v>
      </c>
      <c r="K61" s="86" t="s">
        <v>390</v>
      </c>
      <c r="L61" s="86" t="s">
        <v>391</v>
      </c>
      <c r="M61" s="86" t="s">
        <v>392</v>
      </c>
      <c r="N61" s="86" t="s">
        <v>557</v>
      </c>
      <c r="O61" s="86" t="s">
        <v>1076</v>
      </c>
      <c r="P61" s="89" t="str">
        <f>IFERROR(__xludf.DUMMYFUNCTION("IFERROR(
  TEXT(
    DATE(
      INDEX(SPLIT(O61,"" ""),3),
      VLOOKUP(INDEX(SPLIT(O61,"" ""),1),{""jan."",1;""Feb"",2;""mar."",3;""Apr"",4;""May"",5;""jun."",6;""jul."",7;""Aug"",8;""sep"",9;""Oct"",10;""nov."",11;""Dec"",12},2,FALSE),
      INDEX(SPL"&amp;"IT(O61,"" ""),2)
    ),
    ""dd/mm/yyyy""
  ),
"""")"),"26/02/2026")</f>
        <v>26/02/2026</v>
      </c>
    </row>
    <row r="62">
      <c r="A62" s="85" t="s">
        <v>1077</v>
      </c>
      <c r="B62" s="85" t="s">
        <v>1078</v>
      </c>
      <c r="C62" s="90"/>
      <c r="D62" s="90"/>
      <c r="E62" s="87"/>
      <c r="F62" s="86" t="s">
        <v>1079</v>
      </c>
      <c r="G62" s="86" t="s">
        <v>389</v>
      </c>
      <c r="H62" s="87"/>
      <c r="I62" s="87"/>
      <c r="J62" s="86" t="s">
        <v>389</v>
      </c>
      <c r="K62" s="86" t="s">
        <v>390</v>
      </c>
      <c r="L62" s="86" t="s">
        <v>391</v>
      </c>
      <c r="M62" s="86" t="s">
        <v>392</v>
      </c>
      <c r="N62" s="86" t="s">
        <v>1080</v>
      </c>
      <c r="O62" s="86" t="s">
        <v>1081</v>
      </c>
      <c r="P62" s="89" t="str">
        <f>IFERROR(__xludf.DUMMYFUNCTION("IFERROR(
  TEXT(
    DATE(
      INDEX(SPLIT(O62,"" ""),3),
      VLOOKUP(INDEX(SPLIT(O62,"" ""),1),{""jan."",1;""Feb"",2;""mar."",3;""Apr"",4;""May"",5;""jun."",6;""jul."",7;""Aug"",8;""sep"",9;""Oct"",10;""nov."",11;""Dec"",12},2,FALSE),
      INDEX(SPL"&amp;"IT(O62,"" ""),2)
    ),
    ""dd/mm/yyyy""
  ),
"""")"),"30/04/2026")</f>
        <v>30/04/2026</v>
      </c>
    </row>
    <row r="63">
      <c r="A63" s="85" t="s">
        <v>1082</v>
      </c>
      <c r="B63" s="85" t="s">
        <v>1083</v>
      </c>
      <c r="C63" s="90"/>
      <c r="D63" s="90"/>
      <c r="E63" s="87"/>
      <c r="F63" s="86" t="s">
        <v>1084</v>
      </c>
      <c r="G63" s="86" t="s">
        <v>389</v>
      </c>
      <c r="H63" s="87"/>
      <c r="I63" s="87"/>
      <c r="J63" s="86" t="s">
        <v>389</v>
      </c>
      <c r="K63" s="86" t="s">
        <v>390</v>
      </c>
      <c r="L63" s="86" t="s">
        <v>391</v>
      </c>
      <c r="M63" s="86" t="s">
        <v>392</v>
      </c>
      <c r="N63" s="86" t="s">
        <v>563</v>
      </c>
      <c r="O63" s="86" t="s">
        <v>1085</v>
      </c>
      <c r="P63" s="89" t="str">
        <f>IFERROR(__xludf.DUMMYFUNCTION("IFERROR(
  TEXT(
    DATE(
      INDEX(SPLIT(O63,"" ""),3),
      VLOOKUP(INDEX(SPLIT(O63,"" ""),1),{""jan."",1;""Feb"",2;""mar."",3;""Apr"",4;""May"",5;""jun."",6;""jul."",7;""Aug"",8;""sep"",9;""Oct"",10;""nov."",11;""Dec"",12},2,FALSE),
      INDEX(SPL"&amp;"IT(O63,"" ""),2)
    ),
    ""dd/mm/yyyy""
  ),
"""")"),"24/04/2026")</f>
        <v>24/04/2026</v>
      </c>
    </row>
    <row r="64">
      <c r="A64" s="85" t="s">
        <v>1086</v>
      </c>
      <c r="B64" s="85" t="s">
        <v>1087</v>
      </c>
      <c r="C64" s="90"/>
      <c r="D64" s="90"/>
      <c r="E64" s="87"/>
      <c r="F64" s="86" t="s">
        <v>86</v>
      </c>
      <c r="G64" s="86" t="s">
        <v>389</v>
      </c>
      <c r="H64" s="87"/>
      <c r="I64" s="87"/>
      <c r="J64" s="86" t="s">
        <v>389</v>
      </c>
      <c r="K64" s="86" t="s">
        <v>390</v>
      </c>
      <c r="L64" s="86" t="s">
        <v>391</v>
      </c>
      <c r="M64" s="86" t="s">
        <v>392</v>
      </c>
      <c r="N64" s="86" t="s">
        <v>1015</v>
      </c>
      <c r="O64" s="86" t="s">
        <v>1088</v>
      </c>
      <c r="P64" s="89" t="str">
        <f>IFERROR(__xludf.DUMMYFUNCTION("IFERROR(
  TEXT(
    DATE(
      INDEX(SPLIT(O64,"" ""),3),
      VLOOKUP(INDEX(SPLIT(O64,"" ""),1),{""jan."",1;""Feb"",2;""mar."",3;""Apr"",4;""May"",5;""jun."",6;""jul."",7;""Aug"",8;""sep"",9;""Oct"",10;""nov."",11;""Dec"",12},2,FALSE),
      INDEX(SPL"&amp;"IT(O64,"" ""),2)
    ),
    ""dd/mm/yyyy""
  ),
"""")"),"17/12/2024")</f>
        <v>17/12/2024</v>
      </c>
    </row>
    <row r="65">
      <c r="A65" s="85" t="s">
        <v>1089</v>
      </c>
      <c r="B65" s="85" t="s">
        <v>1090</v>
      </c>
      <c r="C65" s="86" t="s">
        <v>937</v>
      </c>
      <c r="D65" s="86" t="s">
        <v>388</v>
      </c>
      <c r="E65" s="87"/>
      <c r="F65" s="86" t="s">
        <v>141</v>
      </c>
      <c r="G65" s="86" t="s">
        <v>389</v>
      </c>
      <c r="H65" s="87"/>
      <c r="I65" s="87"/>
      <c r="J65" s="86" t="s">
        <v>389</v>
      </c>
      <c r="K65" s="86" t="s">
        <v>390</v>
      </c>
      <c r="L65" s="86" t="s">
        <v>391</v>
      </c>
      <c r="M65" s="86" t="s">
        <v>392</v>
      </c>
      <c r="N65" s="86" t="s">
        <v>1091</v>
      </c>
      <c r="O65" s="86" t="s">
        <v>1088</v>
      </c>
      <c r="P65" s="89" t="str">
        <f>IFERROR(__xludf.DUMMYFUNCTION("IFERROR(
  TEXT(
    DATE(
      INDEX(SPLIT(O65,"" ""),3),
      VLOOKUP(INDEX(SPLIT(O65,"" ""),1),{""jan."",1;""Feb"",2;""mar."",3;""Apr"",4;""May"",5;""jun."",6;""jul."",7;""Aug"",8;""sep"",9;""Oct"",10;""nov."",11;""Dec"",12},2,FALSE),
      INDEX(SPL"&amp;"IT(O65,"" ""),2)
    ),
    ""dd/mm/yyyy""
  ),
"""")"),"17/12/2024")</f>
        <v>17/12/2024</v>
      </c>
    </row>
    <row r="66">
      <c r="A66" s="85" t="s">
        <v>1092</v>
      </c>
      <c r="B66" s="85" t="s">
        <v>1093</v>
      </c>
      <c r="C66" s="90"/>
      <c r="D66" s="90"/>
      <c r="E66" s="87"/>
      <c r="F66" s="86" t="s">
        <v>86</v>
      </c>
      <c r="G66" s="86" t="s">
        <v>389</v>
      </c>
      <c r="H66" s="87"/>
      <c r="I66" s="87"/>
      <c r="J66" s="86" t="s">
        <v>389</v>
      </c>
      <c r="K66" s="86" t="s">
        <v>390</v>
      </c>
      <c r="L66" s="86" t="s">
        <v>391</v>
      </c>
      <c r="M66" s="86" t="s">
        <v>392</v>
      </c>
      <c r="N66" s="86" t="s">
        <v>1094</v>
      </c>
      <c r="O66" s="86" t="s">
        <v>1095</v>
      </c>
      <c r="P66" s="89" t="str">
        <f>IFERROR(__xludf.DUMMYFUNCTION("IFERROR(
  TEXT(
    DATE(
      INDEX(SPLIT(O66,"" ""),3),
      VLOOKUP(INDEX(SPLIT(O66,"" ""),1),{""jan."",1;""Feb"",2;""mar."",3;""Apr"",4;""May"",5;""jun."",6;""jul."",7;""Aug"",8;""sep"",9;""Oct"",10;""nov."",11;""Dec"",12},2,FALSE),
      INDEX(SPL"&amp;"IT(O66,"" ""),2)
    ),
    ""dd/mm/yyyy""
  ),
"""")"),"16/04/2025")</f>
        <v>16/04/2025</v>
      </c>
    </row>
    <row r="67">
      <c r="A67" s="85" t="s">
        <v>1096</v>
      </c>
      <c r="B67" s="85" t="s">
        <v>1097</v>
      </c>
      <c r="C67" s="90"/>
      <c r="D67" s="90"/>
      <c r="E67" s="87"/>
      <c r="F67" s="86" t="s">
        <v>86</v>
      </c>
      <c r="G67" s="86" t="s">
        <v>389</v>
      </c>
      <c r="H67" s="87"/>
      <c r="I67" s="87"/>
      <c r="J67" s="86" t="s">
        <v>389</v>
      </c>
      <c r="K67" s="86" t="s">
        <v>390</v>
      </c>
      <c r="L67" s="86" t="s">
        <v>391</v>
      </c>
      <c r="M67" s="86" t="s">
        <v>392</v>
      </c>
      <c r="N67" s="86" t="s">
        <v>675</v>
      </c>
      <c r="O67" s="86" t="s">
        <v>1098</v>
      </c>
      <c r="P67" s="89" t="str">
        <f>IFERROR(__xludf.DUMMYFUNCTION("IFERROR(
  TEXT(
    DATE(
      INDEX(SPLIT(O67,"" ""),3),
      VLOOKUP(INDEX(SPLIT(O67,"" ""),1),{""jan."",1;""Feb"",2;""mar."",3;""Apr"",4;""May"",5;""jun."",6;""jul."",7;""Aug"",8;""sep"",9;""Oct"",10;""nov."",11;""Dec"",12},2,FALSE),
      INDEX(SPL"&amp;"IT(O67,"" ""),2)
    ),
    ""dd/mm/yyyy""
  ),
"""")"),"16/04/2025")</f>
        <v>16/04/2025</v>
      </c>
    </row>
    <row r="68">
      <c r="A68" s="85" t="s">
        <v>1099</v>
      </c>
      <c r="B68" s="85" t="s">
        <v>1100</v>
      </c>
      <c r="C68" s="90"/>
      <c r="D68" s="90"/>
      <c r="E68" s="87"/>
      <c r="F68" s="86" t="s">
        <v>86</v>
      </c>
      <c r="G68" s="86" t="s">
        <v>389</v>
      </c>
      <c r="H68" s="87"/>
      <c r="I68" s="87"/>
      <c r="J68" s="86" t="s">
        <v>389</v>
      </c>
      <c r="K68" s="86" t="s">
        <v>390</v>
      </c>
      <c r="L68" s="86" t="s">
        <v>391</v>
      </c>
      <c r="M68" s="86" t="s">
        <v>392</v>
      </c>
      <c r="N68" s="86" t="s">
        <v>1101</v>
      </c>
      <c r="O68" s="86" t="s">
        <v>1102</v>
      </c>
      <c r="P68" s="89" t="str">
        <f>IFERROR(__xludf.DUMMYFUNCTION("IFERROR(
  TEXT(
    DATE(
      INDEX(SPLIT(O68,"" ""),3),
      VLOOKUP(INDEX(SPLIT(O68,"" ""),1),{""jan."",1;""Feb"",2;""mar."",3;""Apr"",4;""May"",5;""jun."",6;""jul."",7;""Aug"",8;""sep"",9;""Oct"",10;""nov."",11;""Dec"",12},2,FALSE),
      INDEX(SPL"&amp;"IT(O68,"" ""),2)
    ),
    ""dd/mm/yyyy""
  ),
"""")"),"19/12/2024")</f>
        <v>19/12/2024</v>
      </c>
    </row>
    <row r="69">
      <c r="A69" s="85" t="s">
        <v>1103</v>
      </c>
      <c r="B69" s="85" t="s">
        <v>1104</v>
      </c>
      <c r="C69" s="86" t="s">
        <v>937</v>
      </c>
      <c r="D69" s="86" t="s">
        <v>388</v>
      </c>
      <c r="E69" s="87"/>
      <c r="F69" s="86" t="s">
        <v>136</v>
      </c>
      <c r="G69" s="86" t="s">
        <v>389</v>
      </c>
      <c r="H69" s="87"/>
      <c r="I69" s="87"/>
      <c r="J69" s="86" t="s">
        <v>389</v>
      </c>
      <c r="K69" s="86" t="s">
        <v>390</v>
      </c>
      <c r="L69" s="86" t="s">
        <v>391</v>
      </c>
      <c r="M69" s="86" t="s">
        <v>392</v>
      </c>
      <c r="N69" s="86" t="s">
        <v>1105</v>
      </c>
      <c r="O69" s="86" t="s">
        <v>1106</v>
      </c>
      <c r="P69" s="89" t="str">
        <f>IFERROR(__xludf.DUMMYFUNCTION("IFERROR(
  TEXT(
    DATE(
      INDEX(SPLIT(O69,"" ""),3),
      VLOOKUP(INDEX(SPLIT(O69,"" ""),1),{""jan."",1;""Feb"",2;""mar."",3;""Apr"",4;""May"",5;""jun."",6;""jul."",7;""Aug"",8;""sep"",9;""Oct"",10;""nov."",11;""Dec"",12},2,FALSE),
      INDEX(SPL"&amp;"IT(O69,"" ""),2)
    ),
    ""dd/mm/yyyy""
  ),
"""")"),"19/12/2024")</f>
        <v>19/12/2024</v>
      </c>
    </row>
    <row r="70">
      <c r="A70" s="85" t="s">
        <v>1107</v>
      </c>
      <c r="B70" s="85" t="s">
        <v>1108</v>
      </c>
      <c r="C70" s="90"/>
      <c r="D70" s="90"/>
      <c r="E70" s="87"/>
      <c r="F70" s="86" t="s">
        <v>86</v>
      </c>
      <c r="G70" s="86" t="s">
        <v>389</v>
      </c>
      <c r="H70" s="87"/>
      <c r="I70" s="87"/>
      <c r="J70" s="86" t="s">
        <v>389</v>
      </c>
      <c r="K70" s="86" t="s">
        <v>390</v>
      </c>
      <c r="L70" s="86" t="s">
        <v>391</v>
      </c>
      <c r="M70" s="86" t="s">
        <v>392</v>
      </c>
      <c r="N70" s="86" t="s">
        <v>557</v>
      </c>
      <c r="O70" s="86" t="s">
        <v>1098</v>
      </c>
      <c r="P70" s="89" t="str">
        <f>IFERROR(__xludf.DUMMYFUNCTION("IFERROR(
  TEXT(
    DATE(
      INDEX(SPLIT(O70,"" ""),3),
      VLOOKUP(INDEX(SPLIT(O70,"" ""),1),{""jan."",1;""Feb"",2;""mar."",3;""Apr"",4;""May"",5;""jun."",6;""jul."",7;""Aug"",8;""sep"",9;""Oct"",10;""nov."",11;""Dec"",12},2,FALSE),
      INDEX(SPL"&amp;"IT(O70,"" ""),2)
    ),
    ""dd/mm/yyyy""
  ),
"""")"),"16/04/2025")</f>
        <v>16/04/2025</v>
      </c>
    </row>
    <row r="71">
      <c r="A71" s="85" t="s">
        <v>1109</v>
      </c>
      <c r="B71" s="85" t="s">
        <v>1110</v>
      </c>
      <c r="C71" s="90"/>
      <c r="D71" s="90"/>
      <c r="E71" s="87"/>
      <c r="F71" s="86" t="s">
        <v>86</v>
      </c>
      <c r="G71" s="86" t="s">
        <v>389</v>
      </c>
      <c r="H71" s="87"/>
      <c r="I71" s="87"/>
      <c r="J71" s="86" t="s">
        <v>389</v>
      </c>
      <c r="K71" s="86" t="s">
        <v>390</v>
      </c>
      <c r="L71" s="86" t="s">
        <v>391</v>
      </c>
      <c r="M71" s="86" t="s">
        <v>392</v>
      </c>
      <c r="N71" s="86" t="s">
        <v>1111</v>
      </c>
      <c r="O71" s="86" t="s">
        <v>1098</v>
      </c>
      <c r="P71" s="89" t="str">
        <f>IFERROR(__xludf.DUMMYFUNCTION("IFERROR(
  TEXT(
    DATE(
      INDEX(SPLIT(O71,"" ""),3),
      VLOOKUP(INDEX(SPLIT(O71,"" ""),1),{""jan."",1;""Feb"",2;""mar."",3;""Apr"",4;""May"",5;""jun."",6;""jul."",7;""Aug"",8;""sep"",9;""Oct"",10;""nov."",11;""Dec"",12},2,FALSE),
      INDEX(SPL"&amp;"IT(O71,"" ""),2)
    ),
    ""dd/mm/yyyy""
  ),
"""")"),"16/04/2025")</f>
        <v>16/04/2025</v>
      </c>
    </row>
    <row r="72">
      <c r="A72" s="85" t="s">
        <v>1112</v>
      </c>
      <c r="B72" s="85" t="s">
        <v>1113</v>
      </c>
      <c r="C72" s="90"/>
      <c r="D72" s="90"/>
      <c r="E72" s="87"/>
      <c r="F72" s="86" t="s">
        <v>86</v>
      </c>
      <c r="G72" s="86" t="s">
        <v>389</v>
      </c>
      <c r="H72" s="87"/>
      <c r="I72" s="87"/>
      <c r="J72" s="86" t="s">
        <v>389</v>
      </c>
      <c r="K72" s="86" t="s">
        <v>390</v>
      </c>
      <c r="L72" s="86" t="s">
        <v>391</v>
      </c>
      <c r="M72" s="86" t="s">
        <v>392</v>
      </c>
      <c r="N72" s="86" t="s">
        <v>563</v>
      </c>
      <c r="O72" s="86" t="s">
        <v>1098</v>
      </c>
      <c r="P72" s="89" t="str">
        <f>IFERROR(__xludf.DUMMYFUNCTION("IFERROR(
  TEXT(
    DATE(
      INDEX(SPLIT(O72,"" ""),3),
      VLOOKUP(INDEX(SPLIT(O72,"" ""),1),{""jan."",1;""Feb"",2;""mar."",3;""Apr"",4;""May"",5;""jun."",6;""jul."",7;""Aug"",8;""sep"",9;""Oct"",10;""nov."",11;""Dec"",12},2,FALSE),
      INDEX(SPL"&amp;"IT(O72,"" ""),2)
    ),
    ""dd/mm/yyyy""
  ),
"""")"),"16/04/2025")</f>
        <v>16/04/2025</v>
      </c>
    </row>
    <row r="73">
      <c r="A73" s="85" t="s">
        <v>1114</v>
      </c>
      <c r="B73" s="85" t="s">
        <v>1115</v>
      </c>
      <c r="C73" s="90"/>
      <c r="D73" s="90"/>
      <c r="E73" s="87"/>
      <c r="F73" s="86" t="s">
        <v>86</v>
      </c>
      <c r="G73" s="86" t="s">
        <v>389</v>
      </c>
      <c r="H73" s="87"/>
      <c r="I73" s="87"/>
      <c r="J73" s="86" t="s">
        <v>389</v>
      </c>
      <c r="K73" s="86" t="s">
        <v>390</v>
      </c>
      <c r="L73" s="86" t="s">
        <v>391</v>
      </c>
      <c r="M73" s="86" t="s">
        <v>392</v>
      </c>
      <c r="N73" s="86" t="s">
        <v>710</v>
      </c>
      <c r="O73" s="86" t="s">
        <v>1116</v>
      </c>
      <c r="P73" s="89" t="str">
        <f>IFERROR(__xludf.DUMMYFUNCTION("IFERROR(
  TEXT(
    DATE(
      INDEX(SPLIT(O73,"" ""),3),
      VLOOKUP(INDEX(SPLIT(O73,"" ""),1),{""jan."",1;""Feb"",2;""mar."",3;""Apr"",4;""May"",5;""jun."",6;""jul."",7;""Aug"",8;""sep"",9;""Oct"",10;""nov."",11;""Dec"",12},2,FALSE),
      INDEX(SPL"&amp;"IT(O73,"" ""),2)
    ),
    ""dd/mm/yyyy""
  ),
"""")"),"18/12/2024")</f>
        <v>18/12/2024</v>
      </c>
    </row>
    <row r="74">
      <c r="A74" s="85" t="s">
        <v>1117</v>
      </c>
      <c r="B74" s="85" t="s">
        <v>1118</v>
      </c>
      <c r="C74" s="86" t="s">
        <v>937</v>
      </c>
      <c r="D74" s="86" t="s">
        <v>388</v>
      </c>
      <c r="E74" s="87"/>
      <c r="F74" s="86" t="s">
        <v>136</v>
      </c>
      <c r="G74" s="86" t="s">
        <v>389</v>
      </c>
      <c r="H74" s="87"/>
      <c r="I74" s="87"/>
      <c r="J74" s="86" t="s">
        <v>389</v>
      </c>
      <c r="K74" s="86" t="s">
        <v>390</v>
      </c>
      <c r="L74" s="86" t="s">
        <v>391</v>
      </c>
      <c r="M74" s="86" t="s">
        <v>392</v>
      </c>
      <c r="N74" s="86" t="s">
        <v>1119</v>
      </c>
      <c r="O74" s="86" t="s">
        <v>1116</v>
      </c>
      <c r="P74" s="89" t="str">
        <f>IFERROR(__xludf.DUMMYFUNCTION("IFERROR(
  TEXT(
    DATE(
      INDEX(SPLIT(O74,"" ""),3),
      VLOOKUP(INDEX(SPLIT(O74,"" ""),1),{""jan."",1;""Feb"",2;""mar."",3;""Apr"",4;""May"",5;""jun."",6;""jul."",7;""Aug"",8;""sep"",9;""Oct"",10;""nov."",11;""Dec"",12},2,FALSE),
      INDEX(SPL"&amp;"IT(O74,"" ""),2)
    ),
    ""dd/mm/yyyy""
  ),
"""")"),"18/12/2024")</f>
        <v>18/12/2024</v>
      </c>
    </row>
    <row r="75">
      <c r="A75" s="85" t="s">
        <v>1120</v>
      </c>
      <c r="B75" s="85" t="s">
        <v>1121</v>
      </c>
      <c r="C75" s="86" t="s">
        <v>937</v>
      </c>
      <c r="D75" s="86" t="s">
        <v>388</v>
      </c>
      <c r="E75" s="87"/>
      <c r="F75" s="86" t="s">
        <v>1122</v>
      </c>
      <c r="G75" s="86" t="s">
        <v>389</v>
      </c>
      <c r="H75" s="87"/>
      <c r="I75" s="87"/>
      <c r="J75" s="86" t="s">
        <v>389</v>
      </c>
      <c r="K75" s="86" t="s">
        <v>390</v>
      </c>
      <c r="L75" s="86" t="s">
        <v>391</v>
      </c>
      <c r="M75" s="86" t="s">
        <v>392</v>
      </c>
      <c r="N75" s="86" t="s">
        <v>1123</v>
      </c>
      <c r="O75" s="86" t="s">
        <v>1124</v>
      </c>
      <c r="P75" s="89" t="str">
        <f>IFERROR(__xludf.DUMMYFUNCTION("IFERROR(
  TEXT(
    DATE(
      INDEX(SPLIT(O75,"" ""),3),
      VLOOKUP(INDEX(SPLIT(O75,"" ""),1),{""jan."",1;""Feb"",2;""mar."",3;""Apr"",4;""May"",5;""jun."",6;""jul."",7;""Aug"",8;""sep"",9;""Oct"",10;""nov."",11;""Dec"",12},2,FALSE),
      INDEX(SPL"&amp;"IT(O75,"" ""),2)
    ),
    ""dd/mm/yyyy""
  ),
"""")"),"17/04/2026")</f>
        <v>17/04/2026</v>
      </c>
    </row>
    <row r="76">
      <c r="A76" s="85" t="s">
        <v>1125</v>
      </c>
      <c r="B76" s="85" t="s">
        <v>1126</v>
      </c>
      <c r="C76" s="86" t="s">
        <v>937</v>
      </c>
      <c r="D76" s="86" t="s">
        <v>388</v>
      </c>
      <c r="E76" s="87"/>
      <c r="F76" s="86" t="s">
        <v>234</v>
      </c>
      <c r="G76" s="86" t="s">
        <v>389</v>
      </c>
      <c r="H76" s="87"/>
      <c r="I76" s="87"/>
      <c r="J76" s="86" t="s">
        <v>389</v>
      </c>
      <c r="K76" s="86" t="s">
        <v>390</v>
      </c>
      <c r="L76" s="86" t="s">
        <v>391</v>
      </c>
      <c r="M76" s="86" t="s">
        <v>392</v>
      </c>
      <c r="N76" s="86" t="s">
        <v>1127</v>
      </c>
      <c r="O76" s="86" t="s">
        <v>1128</v>
      </c>
      <c r="P76" s="89" t="str">
        <f>IFERROR(__xludf.DUMMYFUNCTION("IFERROR(
  TEXT(
    DATE(
      INDEX(SPLIT(O76,"" ""),3),
      VLOOKUP(INDEX(SPLIT(O76,"" ""),1),{""jan."",1;""Feb"",2;""mar."",3;""Apr"",4;""May"",5;""jun."",6;""jul."",7;""Aug"",8;""sep"",9;""Oct"",10;""nov."",11;""Dec"",12},2,FALSE),
      INDEX(SPL"&amp;"IT(O76,"" ""),2)
    ),
    ""dd/mm/yyyy""
  ),
"""")"),"16/04/2026")</f>
        <v>16/04/2026</v>
      </c>
    </row>
    <row r="77">
      <c r="A77" s="85" t="s">
        <v>1129</v>
      </c>
      <c r="B77" s="85" t="s">
        <v>1130</v>
      </c>
      <c r="C77" s="86" t="s">
        <v>937</v>
      </c>
      <c r="D77" s="86" t="s">
        <v>388</v>
      </c>
      <c r="E77" s="87"/>
      <c r="F77" s="86" t="s">
        <v>863</v>
      </c>
      <c r="G77" s="86" t="s">
        <v>389</v>
      </c>
      <c r="H77" s="87"/>
      <c r="I77" s="87"/>
      <c r="J77" s="86" t="s">
        <v>389</v>
      </c>
      <c r="K77" s="86" t="s">
        <v>390</v>
      </c>
      <c r="L77" s="86" t="s">
        <v>391</v>
      </c>
      <c r="M77" s="86" t="s">
        <v>392</v>
      </c>
      <c r="N77" s="86" t="s">
        <v>1131</v>
      </c>
      <c r="O77" s="86" t="s">
        <v>1132</v>
      </c>
      <c r="P77" s="89" t="str">
        <f>IFERROR(__xludf.DUMMYFUNCTION("IFERROR(
  TEXT(
    DATE(
      INDEX(SPLIT(O77,"" ""),3),
      VLOOKUP(INDEX(SPLIT(O77,"" ""),1),{""jan."",1;""Feb"",2;""mar."",3;""Apr"",4;""May"",5;""jun."",6;""jul."",7;""Aug"",8;""sep"",9;""Oct"",10;""nov."",11;""Dec"",12},2,FALSE),
      INDEX(SPL"&amp;"IT(O77,"" ""),2)
    ),
    ""dd/mm/yyyy""
  ),
"""")"),"26/02/2026")</f>
        <v>26/02/2026</v>
      </c>
    </row>
    <row r="78">
      <c r="A78" s="85" t="s">
        <v>1133</v>
      </c>
      <c r="B78" s="85" t="s">
        <v>1134</v>
      </c>
      <c r="C78" s="86" t="s">
        <v>937</v>
      </c>
      <c r="D78" s="86" t="s">
        <v>388</v>
      </c>
      <c r="E78" s="87"/>
      <c r="F78" s="86" t="s">
        <v>1135</v>
      </c>
      <c r="G78" s="86" t="s">
        <v>389</v>
      </c>
      <c r="H78" s="87"/>
      <c r="I78" s="87"/>
      <c r="J78" s="86" t="s">
        <v>389</v>
      </c>
      <c r="K78" s="86" t="s">
        <v>390</v>
      </c>
      <c r="L78" s="86" t="s">
        <v>391</v>
      </c>
      <c r="M78" s="86" t="s">
        <v>392</v>
      </c>
      <c r="N78" s="86" t="s">
        <v>1136</v>
      </c>
      <c r="O78" s="86" t="s">
        <v>1137</v>
      </c>
      <c r="P78" s="89" t="str">
        <f>IFERROR(__xludf.DUMMYFUNCTION("IFERROR(
  TEXT(
    DATE(
      INDEX(SPLIT(O78,"" ""),3),
      VLOOKUP(INDEX(SPLIT(O78,"" ""),1),{""jan."",1;""Feb"",2;""mar."",3;""Apr"",4;""May"",5;""jun."",6;""jul."",7;""Aug"",8;""sep"",9;""Oct"",10;""nov."",11;""Dec"",12},2,FALSE),
      INDEX(SPL"&amp;"IT(O78,"" ""),2)
    ),
    ""dd/mm/yyyy""
  ),
"""")"),"30/04/2026")</f>
        <v>30/04/2026</v>
      </c>
    </row>
    <row r="79">
      <c r="A79" s="85" t="s">
        <v>1138</v>
      </c>
      <c r="B79" s="85" t="s">
        <v>1139</v>
      </c>
      <c r="C79" s="86" t="s">
        <v>937</v>
      </c>
      <c r="D79" s="86" t="s">
        <v>388</v>
      </c>
      <c r="E79" s="87"/>
      <c r="F79" s="86" t="s">
        <v>213</v>
      </c>
      <c r="G79" s="86" t="s">
        <v>389</v>
      </c>
      <c r="H79" s="87"/>
      <c r="I79" s="87"/>
      <c r="J79" s="86" t="s">
        <v>389</v>
      </c>
      <c r="K79" s="86" t="s">
        <v>390</v>
      </c>
      <c r="L79" s="86" t="s">
        <v>391</v>
      </c>
      <c r="M79" s="86" t="s">
        <v>392</v>
      </c>
      <c r="N79" s="86" t="s">
        <v>1140</v>
      </c>
      <c r="O79" s="86" t="s">
        <v>1141</v>
      </c>
      <c r="P79" s="89" t="str">
        <f>IFERROR(__xludf.DUMMYFUNCTION("IFERROR(
  TEXT(
    DATE(
      INDEX(SPLIT(O79,"" ""),3),
      VLOOKUP(INDEX(SPLIT(O79,"" ""),1),{""jan."",1;""Feb"",2;""mar."",3;""Apr"",4;""May"",5;""jun."",6;""jul."",7;""Aug"",8;""sep"",9;""Oct"",10;""nov."",11;""Dec"",12},2,FALSE),
      INDEX(SPL"&amp;"IT(O79,"" ""),2)
    ),
    ""dd/mm/yyyy""
  ),
"""")"),"24/04/2026")</f>
        <v>24/04/2026</v>
      </c>
    </row>
    <row r="80">
      <c r="A80" s="85" t="s">
        <v>1142</v>
      </c>
      <c r="B80" s="85" t="s">
        <v>1143</v>
      </c>
      <c r="C80" s="90"/>
      <c r="D80" s="90"/>
      <c r="E80" s="87"/>
      <c r="F80" s="86" t="s">
        <v>200</v>
      </c>
      <c r="G80" s="86" t="s">
        <v>389</v>
      </c>
      <c r="H80" s="87"/>
      <c r="I80" s="87"/>
      <c r="J80" s="86" t="s">
        <v>389</v>
      </c>
      <c r="K80" s="86" t="s">
        <v>390</v>
      </c>
      <c r="L80" s="86" t="s">
        <v>391</v>
      </c>
      <c r="M80" s="86" t="s">
        <v>392</v>
      </c>
      <c r="N80" s="86" t="s">
        <v>666</v>
      </c>
      <c r="O80" s="86" t="s">
        <v>1144</v>
      </c>
      <c r="P80" s="89" t="str">
        <f>IFERROR(__xludf.DUMMYFUNCTION("IFERROR(
  TEXT(
    DATE(
      INDEX(SPLIT(O80,"" ""),3),
      VLOOKUP(INDEX(SPLIT(O80,"" ""),1),{""jan."",1;""Feb"",2;""mar."",3;""Apr"",4;""May"",5;""jun."",6;""jul."",7;""Aug"",8;""sep"",9;""Oct"",10;""nov."",11;""Dec"",12},2,FALSE),
      INDEX(SPL"&amp;"IT(O80,"" ""),2)
    ),
    ""dd/mm/yyyy""
  ),
"""")"),"05/05/2026")</f>
        <v>05/05/2026</v>
      </c>
    </row>
    <row r="81">
      <c r="A81" s="85" t="s">
        <v>1145</v>
      </c>
      <c r="B81" s="85" t="s">
        <v>1146</v>
      </c>
      <c r="C81" s="90"/>
      <c r="D81" s="90"/>
      <c r="E81" s="87"/>
      <c r="F81" s="86" t="s">
        <v>1033</v>
      </c>
      <c r="G81" s="86" t="s">
        <v>389</v>
      </c>
      <c r="H81" s="87"/>
      <c r="I81" s="87"/>
      <c r="J81" s="86" t="s">
        <v>389</v>
      </c>
      <c r="K81" s="86" t="s">
        <v>390</v>
      </c>
      <c r="L81" s="86" t="s">
        <v>391</v>
      </c>
      <c r="M81" s="86" t="s">
        <v>392</v>
      </c>
      <c r="N81" s="86" t="s">
        <v>1147</v>
      </c>
      <c r="O81" s="86" t="s">
        <v>1148</v>
      </c>
      <c r="P81" s="89" t="str">
        <f>IFERROR(__xludf.DUMMYFUNCTION("IFERROR(
  TEXT(
    DATE(
      INDEX(SPLIT(O81,"" ""),3),
      VLOOKUP(INDEX(SPLIT(O81,"" ""),1),{""jan."",1;""Feb"",2;""mar."",3;""Apr"",4;""May"",5;""jun."",6;""jul."",7;""Aug"",8;""sep"",9;""Oct"",10;""nov."",11;""Dec"",12},2,FALSE),
      INDEX(SPL"&amp;"IT(O81,"" ""),2)
    ),
    ""dd/mm/yyyy""
  ),
"""")"),"03/02/2026")</f>
        <v>03/02/2026</v>
      </c>
    </row>
    <row r="82">
      <c r="A82" s="85" t="s">
        <v>1149</v>
      </c>
      <c r="B82" s="85" t="s">
        <v>1150</v>
      </c>
      <c r="C82" s="90"/>
      <c r="D82" s="90"/>
      <c r="E82" s="87"/>
      <c r="F82" s="86" t="s">
        <v>1018</v>
      </c>
      <c r="G82" s="86" t="s">
        <v>389</v>
      </c>
      <c r="H82" s="87"/>
      <c r="I82" s="87"/>
      <c r="J82" s="86" t="s">
        <v>389</v>
      </c>
      <c r="K82" s="86" t="s">
        <v>390</v>
      </c>
      <c r="L82" s="86" t="s">
        <v>391</v>
      </c>
      <c r="M82" s="86" t="s">
        <v>392</v>
      </c>
      <c r="N82" s="86" t="s">
        <v>1151</v>
      </c>
      <c r="O82" s="88">
        <v>46085.61875</v>
      </c>
      <c r="P82" s="89" t="str">
        <f>IFERROR(__xludf.DUMMYFUNCTION("IFERROR(
  TEXT(
    DATE(
      INDEX(SPLIT(O82,"" ""),3),
      VLOOKUP(INDEX(SPLIT(O82,"" ""),1),{""jan."",1;""Feb"",2;""mar."",3;""Apr"",4;""May"",5;""jun."",6;""jul."",7;""Aug"",8;""sep"",9;""Oct"",10;""nov."",11;""Dec"",12},2,FALSE),
      INDEX(SPL"&amp;"IT(O82,"" ""),2)
    ),
    ""dd/mm/yyyy""
  ),
"""")"),"04/03/2026")</f>
        <v>04/03/2026</v>
      </c>
    </row>
    <row r="83">
      <c r="A83" s="85" t="s">
        <v>1152</v>
      </c>
      <c r="B83" s="85" t="s">
        <v>1153</v>
      </c>
      <c r="C83" s="87"/>
      <c r="D83" s="87"/>
      <c r="E83" s="87"/>
      <c r="F83" s="86" t="s">
        <v>221</v>
      </c>
      <c r="G83" s="86" t="s">
        <v>389</v>
      </c>
      <c r="H83" s="87"/>
      <c r="I83" s="87"/>
      <c r="J83" s="86" t="s">
        <v>389</v>
      </c>
      <c r="K83" s="86" t="s">
        <v>390</v>
      </c>
      <c r="L83" s="86" t="s">
        <v>391</v>
      </c>
      <c r="M83" s="86" t="s">
        <v>392</v>
      </c>
      <c r="N83" s="86" t="s">
        <v>1072</v>
      </c>
      <c r="O83" s="86" t="s">
        <v>1154</v>
      </c>
      <c r="P83" s="89" t="str">
        <f>IFERROR(__xludf.DUMMYFUNCTION("IFERROR(
  TEXT(
    DATE(
      INDEX(SPLIT(O83,"" ""),3),
      VLOOKUP(INDEX(SPLIT(O83,"" ""),1),{""jan."",1;""Feb"",2;""mar."",3;""Apr"",4;""May"",5;""jun."",6;""jul."",7;""Aug"",8;""sep"",9;""Oct"",10;""nov."",11;""Dec"",12},2,FALSE),
      INDEX(SPL"&amp;"IT(O83,"" ""),2)
    ),
    ""dd/mm/yyyy""
  ),
"""")"),"24/04/2026")</f>
        <v>24/04/2026</v>
      </c>
    </row>
    <row r="84">
      <c r="A84" s="85" t="s">
        <v>1155</v>
      </c>
      <c r="B84" s="85" t="s">
        <v>1156</v>
      </c>
      <c r="C84" s="87"/>
      <c r="D84" s="87"/>
      <c r="E84" s="87"/>
      <c r="F84" s="86" t="s">
        <v>141</v>
      </c>
      <c r="G84" s="86" t="s">
        <v>389</v>
      </c>
      <c r="H84" s="87"/>
      <c r="I84" s="87"/>
      <c r="J84" s="86" t="s">
        <v>389</v>
      </c>
      <c r="K84" s="86" t="s">
        <v>390</v>
      </c>
      <c r="L84" s="86" t="s">
        <v>391</v>
      </c>
      <c r="M84" s="86" t="s">
        <v>392</v>
      </c>
      <c r="N84" s="86" t="s">
        <v>678</v>
      </c>
      <c r="O84" s="86" t="s">
        <v>1157</v>
      </c>
      <c r="P84" s="89" t="str">
        <f>IFERROR(__xludf.DUMMYFUNCTION("IFERROR(
  TEXT(
    DATE(
      INDEX(SPLIT(O84,"" ""),3),
      VLOOKUP(INDEX(SPLIT(O84,"" ""),1),{""jan."",1;""Feb"",2;""mar."",3;""Apr"",4;""May"",5;""jun."",6;""jul."",7;""Aug"",8;""sep"",9;""Oct"",10;""nov."",11;""Dec"",12},2,FALSE),
      INDEX(SPL"&amp;"IT(O84,"" ""),2)
    ),
    ""dd/mm/yyyy""
  ),
"""")"),"15/04/2026")</f>
        <v>15/04/2026</v>
      </c>
    </row>
    <row r="85">
      <c r="A85" s="85" t="s">
        <v>1158</v>
      </c>
      <c r="B85" s="85" t="s">
        <v>1159</v>
      </c>
      <c r="C85" s="87"/>
      <c r="D85" s="87"/>
      <c r="E85" s="87"/>
      <c r="F85" s="86" t="s">
        <v>1037</v>
      </c>
      <c r="G85" s="86" t="s">
        <v>389</v>
      </c>
      <c r="H85" s="87"/>
      <c r="I85" s="87"/>
      <c r="J85" s="86" t="s">
        <v>389</v>
      </c>
      <c r="K85" s="86" t="s">
        <v>390</v>
      </c>
      <c r="L85" s="86" t="s">
        <v>391</v>
      </c>
      <c r="M85" s="86" t="s">
        <v>392</v>
      </c>
      <c r="N85" s="86" t="s">
        <v>651</v>
      </c>
      <c r="O85" s="86" t="s">
        <v>1160</v>
      </c>
      <c r="P85" s="89" t="str">
        <f>IFERROR(__xludf.DUMMYFUNCTION("IFERROR(
  TEXT(
    DATE(
      INDEX(SPLIT(O85,"" ""),3),
      VLOOKUP(INDEX(SPLIT(O85,"" ""),1),{""jan."",1;""Feb"",2;""mar."",3;""Apr"",4;""May"",5;""jun."",6;""jul."",7;""Aug"",8;""sep"",9;""Oct"",10;""nov."",11;""Dec"",12},2,FALSE),
      INDEX(SPL"&amp;"IT(O85,"" ""),2)
    ),
    ""dd/mm/yyyy""
  ),
"""")"),"27/04/2026")</f>
        <v>27/04/2026</v>
      </c>
    </row>
    <row r="86">
      <c r="A86" s="85" t="s">
        <v>1161</v>
      </c>
      <c r="B86" s="85" t="s">
        <v>1162</v>
      </c>
      <c r="C86" s="87"/>
      <c r="D86" s="87"/>
      <c r="E86" s="87"/>
      <c r="F86" s="86" t="s">
        <v>1084</v>
      </c>
      <c r="G86" s="86" t="s">
        <v>389</v>
      </c>
      <c r="H86" s="87"/>
      <c r="I86" s="87"/>
      <c r="J86" s="86" t="s">
        <v>389</v>
      </c>
      <c r="K86" s="86" t="s">
        <v>390</v>
      </c>
      <c r="L86" s="86" t="s">
        <v>391</v>
      </c>
      <c r="M86" s="86" t="s">
        <v>392</v>
      </c>
      <c r="N86" s="86" t="s">
        <v>1163</v>
      </c>
      <c r="O86" s="86" t="s">
        <v>1164</v>
      </c>
      <c r="P86" s="89" t="str">
        <f>IFERROR(__xludf.DUMMYFUNCTION("IFERROR(
  TEXT(
    DATE(
      INDEX(SPLIT(O86,"" ""),3),
      VLOOKUP(INDEX(SPLIT(O86,"" ""),1),{""jan."",1;""Feb"",2;""mar."",3;""Apr"",4;""May"",5;""jun."",6;""jul."",7;""Aug"",8;""sep"",9;""Oct"",10;""nov."",11;""Dec"",12},2,FALSE),
      INDEX(SPL"&amp;"IT(O86,"" ""),2)
    ),
    ""dd/mm/yyyy""
  ),
"""")"),"13/04/2026")</f>
        <v>13/04/2026</v>
      </c>
    </row>
    <row r="87">
      <c r="A87" s="85" t="s">
        <v>1165</v>
      </c>
      <c r="B87" s="85" t="s">
        <v>1166</v>
      </c>
      <c r="C87" s="90"/>
      <c r="D87" s="90"/>
      <c r="E87" s="87"/>
      <c r="F87" s="86" t="s">
        <v>914</v>
      </c>
      <c r="G87" s="86" t="s">
        <v>389</v>
      </c>
      <c r="H87" s="87"/>
      <c r="I87" s="87"/>
      <c r="J87" s="86" t="s">
        <v>389</v>
      </c>
      <c r="K87" s="86" t="s">
        <v>390</v>
      </c>
      <c r="L87" s="86" t="s">
        <v>391</v>
      </c>
      <c r="M87" s="86" t="s">
        <v>392</v>
      </c>
      <c r="N87" s="86" t="s">
        <v>1167</v>
      </c>
      <c r="O87" s="86" t="s">
        <v>1168</v>
      </c>
      <c r="P87" s="89" t="str">
        <f>IFERROR(__xludf.DUMMYFUNCTION("IFERROR(
  TEXT(
    DATE(
      INDEX(SPLIT(O87,"" ""),3),
      VLOOKUP(INDEX(SPLIT(O87,"" ""),1),{""jan."",1;""Feb"",2;""mar."",3;""Apr"",4;""May"",5;""jun."",6;""jul."",7;""Aug"",8;""sep"",9;""Oct"",10;""nov."",11;""Dec"",12},2,FALSE),
      INDEX(SPL"&amp;"IT(O87,"" ""),2)
    ),
    ""dd/mm/yyyy""
  ),
"""")"),"23/12/2025")</f>
        <v>23/12/2025</v>
      </c>
    </row>
    <row r="88">
      <c r="A88" s="85" t="s">
        <v>1169</v>
      </c>
      <c r="B88" s="85" t="s">
        <v>1170</v>
      </c>
      <c r="C88" s="90"/>
      <c r="D88" s="90"/>
      <c r="E88" s="87"/>
      <c r="F88" s="86" t="s">
        <v>1033</v>
      </c>
      <c r="G88" s="86" t="s">
        <v>389</v>
      </c>
      <c r="H88" s="87"/>
      <c r="I88" s="87"/>
      <c r="J88" s="86" t="s">
        <v>389</v>
      </c>
      <c r="K88" s="86" t="s">
        <v>390</v>
      </c>
      <c r="L88" s="86" t="s">
        <v>391</v>
      </c>
      <c r="M88" s="86" t="s">
        <v>392</v>
      </c>
      <c r="N88" s="86" t="s">
        <v>517</v>
      </c>
      <c r="O88" s="86" t="s">
        <v>1171</v>
      </c>
      <c r="P88" s="89" t="str">
        <f>IFERROR(__xludf.DUMMYFUNCTION("IFERROR(
  TEXT(
    DATE(
      INDEX(SPLIT(O88,"" ""),3),
      VLOOKUP(INDEX(SPLIT(O88,"" ""),1),{""jan."",1;""Feb"",2;""mar."",3;""Apr"",4;""May"",5;""jun."",6;""jul."",7;""Aug"",8;""sep"",9;""Oct"",10;""nov."",11;""Dec"",12},2,FALSE),
      INDEX(SPL"&amp;"IT(O88,"" ""),2)
    ),
    ""dd/mm/yyyy""
  ),
"""")"),"12/05/2026")</f>
        <v>12/05/2026</v>
      </c>
    </row>
    <row r="89">
      <c r="A89" s="85" t="s">
        <v>1172</v>
      </c>
      <c r="B89" s="85" t="s">
        <v>1173</v>
      </c>
      <c r="C89" s="90"/>
      <c r="D89" s="90"/>
      <c r="E89" s="87"/>
      <c r="F89" s="86" t="s">
        <v>136</v>
      </c>
      <c r="G89" s="86" t="s">
        <v>389</v>
      </c>
      <c r="H89" s="87"/>
      <c r="I89" s="87"/>
      <c r="J89" s="86" t="s">
        <v>389</v>
      </c>
      <c r="K89" s="86" t="s">
        <v>390</v>
      </c>
      <c r="L89" s="86" t="s">
        <v>391</v>
      </c>
      <c r="M89" s="86" t="s">
        <v>392</v>
      </c>
      <c r="N89" s="86" t="s">
        <v>1072</v>
      </c>
      <c r="O89" s="86" t="s">
        <v>1174</v>
      </c>
      <c r="P89" s="89" t="str">
        <f>IFERROR(__xludf.DUMMYFUNCTION("IFERROR(
  TEXT(
    DATE(
      INDEX(SPLIT(O89,"" ""),3),
      VLOOKUP(INDEX(SPLIT(O89,"" ""),1),{""jan."",1;""Feb"",2;""mar."",3;""Apr"",4;""May"",5;""jun."",6;""jul."",7;""Aug"",8;""sep"",9;""Oct"",10;""nov."",11;""Dec"",12},2,FALSE),
      INDEX(SPL"&amp;"IT(O89,"" ""),2)
    ),
    ""dd/mm/yyyy""
  ),
"""")"),"08/12/2025")</f>
        <v>08/12/2025</v>
      </c>
    </row>
    <row r="90">
      <c r="A90" s="85" t="s">
        <v>1175</v>
      </c>
      <c r="B90" s="85" t="s">
        <v>1176</v>
      </c>
      <c r="C90" s="90"/>
      <c r="D90" s="90"/>
      <c r="E90" s="87"/>
      <c r="F90" s="86" t="s">
        <v>292</v>
      </c>
      <c r="G90" s="86" t="s">
        <v>389</v>
      </c>
      <c r="H90" s="87"/>
      <c r="I90" s="87"/>
      <c r="J90" s="86" t="s">
        <v>389</v>
      </c>
      <c r="K90" s="86" t="s">
        <v>390</v>
      </c>
      <c r="L90" s="86" t="s">
        <v>391</v>
      </c>
      <c r="M90" s="86" t="s">
        <v>392</v>
      </c>
      <c r="N90" s="86" t="s">
        <v>1177</v>
      </c>
      <c r="O90" s="86" t="s">
        <v>1178</v>
      </c>
      <c r="P90" s="89" t="str">
        <f>IFERROR(__xludf.DUMMYFUNCTION("IFERROR(
  TEXT(
    DATE(
      INDEX(SPLIT(O90,"" ""),3),
      VLOOKUP(INDEX(SPLIT(O90,"" ""),1),{""jan."",1;""Feb"",2;""mar."",3;""Apr"",4;""May"",5;""jun."",6;""jul."",7;""Aug"",8;""sep"",9;""Oct"",10;""nov."",11;""Dec"",12},2,FALSE),
      INDEX(SPL"&amp;"IT(O90,"" ""),2)
    ),
    ""dd/mm/yyyy""
  ),
"""")"),"27/04/2026")</f>
        <v>27/04/2026</v>
      </c>
    </row>
    <row r="91">
      <c r="A91" s="85" t="s">
        <v>1179</v>
      </c>
      <c r="B91" s="85" t="s">
        <v>1180</v>
      </c>
      <c r="C91" s="90"/>
      <c r="D91" s="90"/>
      <c r="E91" s="87"/>
      <c r="F91" s="86" t="s">
        <v>243</v>
      </c>
      <c r="G91" s="86" t="s">
        <v>389</v>
      </c>
      <c r="H91" s="87"/>
      <c r="I91" s="87"/>
      <c r="J91" s="86" t="s">
        <v>389</v>
      </c>
      <c r="K91" s="86" t="s">
        <v>390</v>
      </c>
      <c r="L91" s="86" t="s">
        <v>391</v>
      </c>
      <c r="M91" s="86" t="s">
        <v>392</v>
      </c>
      <c r="N91" s="86" t="s">
        <v>1181</v>
      </c>
      <c r="O91" s="86" t="s">
        <v>1182</v>
      </c>
      <c r="P91" s="89" t="str">
        <f>IFERROR(__xludf.DUMMYFUNCTION("IFERROR(
  TEXT(
    DATE(
      INDEX(SPLIT(O91,"" ""),3),
      VLOOKUP(INDEX(SPLIT(O91,"" ""),1),{""jan."",1;""Feb"",2;""mar."",3;""Apr"",4;""May"",5;""jun."",6;""jul."",7;""Aug"",8;""sep"",9;""Oct"",10;""nov."",11;""Dec"",12},2,FALSE),
      INDEX(SPL"&amp;"IT(O91,"" ""),2)
    ),
    ""dd/mm/yyyy""
  ),
"""")"),"03/02/2026")</f>
        <v>03/02/2026</v>
      </c>
    </row>
    <row r="92">
      <c r="A92" s="85" t="s">
        <v>1183</v>
      </c>
      <c r="B92" s="85" t="s">
        <v>1184</v>
      </c>
      <c r="C92" s="90"/>
      <c r="D92" s="90"/>
      <c r="E92" s="87"/>
      <c r="F92" s="86" t="s">
        <v>200</v>
      </c>
      <c r="G92" s="86" t="s">
        <v>389</v>
      </c>
      <c r="H92" s="87"/>
      <c r="I92" s="87"/>
      <c r="J92" s="86" t="s">
        <v>389</v>
      </c>
      <c r="K92" s="86" t="s">
        <v>390</v>
      </c>
      <c r="L92" s="86" t="s">
        <v>391</v>
      </c>
      <c r="M92" s="86" t="s">
        <v>392</v>
      </c>
      <c r="N92" s="86" t="s">
        <v>1185</v>
      </c>
      <c r="O92" s="86" t="s">
        <v>420</v>
      </c>
      <c r="P92" s="89" t="str">
        <f>IFERROR(__xludf.DUMMYFUNCTION("IFERROR(
  TEXT(
    DATE(
      INDEX(SPLIT(O92,"" ""),3),
      VLOOKUP(INDEX(SPLIT(O92,"" ""),1),{""jan."",1;""Feb"",2;""mar."",3;""Apr"",4;""May"",5;""jun."",6;""jul."",7;""Aug"",8;""sep"",9;""Oct"",10;""nov."",11;""Dec"",12},2,FALSE),
      INDEX(SPL"&amp;"IT(O92,"" ""),2)
    ),
    ""dd/mm/yyyy""
  ),
"""")"),"15/05/2026")</f>
        <v>15/05/2026</v>
      </c>
    </row>
    <row r="93">
      <c r="A93" s="85" t="s">
        <v>1186</v>
      </c>
      <c r="B93" s="85" t="s">
        <v>1187</v>
      </c>
      <c r="C93" s="90"/>
      <c r="D93" s="90"/>
      <c r="E93" s="87"/>
      <c r="F93" s="86" t="s">
        <v>141</v>
      </c>
      <c r="G93" s="86" t="s">
        <v>389</v>
      </c>
      <c r="H93" s="87"/>
      <c r="I93" s="87"/>
      <c r="J93" s="86" t="s">
        <v>389</v>
      </c>
      <c r="K93" s="86" t="s">
        <v>390</v>
      </c>
      <c r="L93" s="86" t="s">
        <v>391</v>
      </c>
      <c r="M93" s="86" t="s">
        <v>392</v>
      </c>
      <c r="N93" s="86" t="s">
        <v>1188</v>
      </c>
      <c r="O93" s="86" t="s">
        <v>1189</v>
      </c>
      <c r="P93" s="89" t="str">
        <f>IFERROR(__xludf.DUMMYFUNCTION("IFERROR(
  TEXT(
    DATE(
      INDEX(SPLIT(O93,"" ""),3),
      VLOOKUP(INDEX(SPLIT(O93,"" ""),1),{""jan."",1;""Feb"",2;""mar."",3;""Apr"",4;""May"",5;""jun."",6;""jul."",7;""Aug"",8;""sep"",9;""Oct"",10;""nov."",11;""Dec"",12},2,FALSE),
      INDEX(SPL"&amp;"IT(O93,"" ""),2)
    ),
    ""dd/mm/yyyy""
  ),
"""")"),"08/05/2026")</f>
        <v>08/05/2026</v>
      </c>
    </row>
    <row r="94">
      <c r="A94" s="85" t="s">
        <v>1190</v>
      </c>
      <c r="B94" s="85" t="s">
        <v>1191</v>
      </c>
      <c r="C94" s="90"/>
      <c r="D94" s="90"/>
      <c r="E94" s="87"/>
      <c r="F94" s="86" t="s">
        <v>176</v>
      </c>
      <c r="G94" s="86" t="s">
        <v>389</v>
      </c>
      <c r="H94" s="87"/>
      <c r="I94" s="87"/>
      <c r="J94" s="86" t="s">
        <v>389</v>
      </c>
      <c r="K94" s="86" t="s">
        <v>390</v>
      </c>
      <c r="L94" s="86" t="s">
        <v>391</v>
      </c>
      <c r="M94" s="86" t="s">
        <v>392</v>
      </c>
      <c r="N94" s="86" t="s">
        <v>1192</v>
      </c>
      <c r="O94" s="86" t="s">
        <v>1193</v>
      </c>
      <c r="P94" s="89" t="str">
        <f>IFERROR(__xludf.DUMMYFUNCTION("IFERROR(
  TEXT(
    DATE(
      INDEX(SPLIT(O94,"" ""),3),
      VLOOKUP(INDEX(SPLIT(O94,"" ""),1),{""jan."",1;""Feb"",2;""mar."",3;""Apr"",4;""May"",5;""jun."",6;""jul."",7;""Aug"",8;""sep"",9;""Oct"",10;""nov."",11;""Dec"",12},2,FALSE),
      INDEX(SPL"&amp;"IT(O94,"" ""),2)
    ),
    ""dd/mm/yyyy""
  ),
"""")"),"14/05/2026")</f>
        <v>14/05/2026</v>
      </c>
    </row>
    <row r="95">
      <c r="A95" s="85" t="s">
        <v>1194</v>
      </c>
      <c r="B95" s="85" t="s">
        <v>1195</v>
      </c>
      <c r="C95" s="90"/>
      <c r="D95" s="90"/>
      <c r="E95" s="87"/>
      <c r="F95" s="86" t="s">
        <v>292</v>
      </c>
      <c r="G95" s="86" t="s">
        <v>389</v>
      </c>
      <c r="H95" s="87"/>
      <c r="I95" s="87"/>
      <c r="J95" s="86" t="s">
        <v>389</v>
      </c>
      <c r="K95" s="86" t="s">
        <v>390</v>
      </c>
      <c r="L95" s="86" t="s">
        <v>391</v>
      </c>
      <c r="M95" s="86" t="s">
        <v>392</v>
      </c>
      <c r="N95" s="86" t="s">
        <v>1196</v>
      </c>
      <c r="O95" s="86" t="s">
        <v>1193</v>
      </c>
      <c r="P95" s="89" t="str">
        <f>IFERROR(__xludf.DUMMYFUNCTION("IFERROR(
  TEXT(
    DATE(
      INDEX(SPLIT(O95,"" ""),3),
      VLOOKUP(INDEX(SPLIT(O95,"" ""),1),{""jan."",1;""Feb"",2;""mar."",3;""Apr"",4;""May"",5;""jun."",6;""jul."",7;""Aug"",8;""sep"",9;""Oct"",10;""nov."",11;""Dec"",12},2,FALSE),
      INDEX(SPL"&amp;"IT(O95,"" ""),2)
    ),
    ""dd/mm/yyyy""
  ),
"""")"),"14/05/2026")</f>
        <v>14/05/2026</v>
      </c>
    </row>
    <row r="96">
      <c r="A96" s="85" t="s">
        <v>1197</v>
      </c>
      <c r="B96" s="85" t="s">
        <v>1198</v>
      </c>
      <c r="C96" s="90"/>
      <c r="D96" s="90"/>
      <c r="E96" s="87"/>
      <c r="F96" s="86" t="s">
        <v>292</v>
      </c>
      <c r="G96" s="86" t="s">
        <v>389</v>
      </c>
      <c r="H96" s="87"/>
      <c r="I96" s="87"/>
      <c r="J96" s="86" t="s">
        <v>389</v>
      </c>
      <c r="K96" s="86" t="s">
        <v>390</v>
      </c>
      <c r="L96" s="86" t="s">
        <v>391</v>
      </c>
      <c r="M96" s="86" t="s">
        <v>392</v>
      </c>
      <c r="N96" s="86" t="s">
        <v>666</v>
      </c>
      <c r="O96" s="88">
        <v>46037.63958333333</v>
      </c>
      <c r="P96" s="89" t="str">
        <f>IFERROR(__xludf.DUMMYFUNCTION("IFERROR(
  TEXT(
    DATE(
      INDEX(SPLIT(O96,"" ""),3),
      VLOOKUP(INDEX(SPLIT(O96,"" ""),1),{""jan."",1;""Feb"",2;""mar."",3;""Apr"",4;""May"",5;""jun."",6;""jul."",7;""Aug"",8;""sep"",9;""Oct"",10;""nov."",11;""Dec"",12},2,FALSE),
      INDEX(SPL"&amp;"IT(O96,"" ""),2)
    ),
    ""dd/mm/yyyy""
  ),
"""")"),"15/01/2026")</f>
        <v>15/01/2026</v>
      </c>
    </row>
    <row r="97">
      <c r="A97" s="85" t="s">
        <v>1199</v>
      </c>
      <c r="B97" s="85" t="s">
        <v>1200</v>
      </c>
      <c r="C97" s="90"/>
      <c r="D97" s="90"/>
      <c r="E97" s="87"/>
      <c r="F97" s="86" t="s">
        <v>1033</v>
      </c>
      <c r="G97" s="86" t="s">
        <v>389</v>
      </c>
      <c r="H97" s="87"/>
      <c r="I97" s="87"/>
      <c r="J97" s="86" t="s">
        <v>389</v>
      </c>
      <c r="K97" s="86" t="s">
        <v>390</v>
      </c>
      <c r="L97" s="86" t="s">
        <v>391</v>
      </c>
      <c r="M97" s="86" t="s">
        <v>392</v>
      </c>
      <c r="N97" s="86" t="s">
        <v>732</v>
      </c>
      <c r="O97" s="88">
        <v>46084.36597222222</v>
      </c>
      <c r="P97" s="89" t="str">
        <f>IFERROR(__xludf.DUMMYFUNCTION("IFERROR(
  TEXT(
    DATE(
      INDEX(SPLIT(O97,"" ""),3),
      VLOOKUP(INDEX(SPLIT(O97,"" ""),1),{""jan."",1;""Feb"",2;""mar."",3;""Apr"",4;""May"",5;""jun."",6;""jul."",7;""Aug"",8;""sep"",9;""Oct"",10;""nov."",11;""Dec"",12},2,FALSE),
      INDEX(SPL"&amp;"IT(O97,"" ""),2)
    ),
    ""dd/mm/yyyy""
  ),
"""")"),"03/03/2026")</f>
        <v>03/03/2026</v>
      </c>
    </row>
    <row r="98">
      <c r="A98" s="85" t="s">
        <v>1201</v>
      </c>
      <c r="B98" s="85" t="s">
        <v>1202</v>
      </c>
      <c r="C98" s="90"/>
      <c r="D98" s="90"/>
      <c r="E98" s="87"/>
      <c r="F98" s="86" t="s">
        <v>221</v>
      </c>
      <c r="G98" s="86" t="s">
        <v>389</v>
      </c>
      <c r="H98" s="87"/>
      <c r="I98" s="87"/>
      <c r="J98" s="86" t="s">
        <v>389</v>
      </c>
      <c r="K98" s="86" t="s">
        <v>390</v>
      </c>
      <c r="L98" s="86" t="s">
        <v>391</v>
      </c>
      <c r="M98" s="86" t="s">
        <v>392</v>
      </c>
      <c r="N98" s="86" t="s">
        <v>1203</v>
      </c>
      <c r="O98" s="88">
        <v>46105.81597222222</v>
      </c>
      <c r="P98" s="89" t="str">
        <f>IFERROR(__xludf.DUMMYFUNCTION("IFERROR(
  TEXT(
    DATE(
      INDEX(SPLIT(O98,"" ""),3),
      VLOOKUP(INDEX(SPLIT(O98,"" ""),1),{""jan."",1;""Feb"",2;""mar."",3;""Apr"",4;""May"",5;""jun."",6;""jul."",7;""Aug"",8;""sep"",9;""Oct"",10;""nov."",11;""Dec"",12},2,FALSE),
      INDEX(SPL"&amp;"IT(O98,"" ""),2)
    ),
    ""dd/mm/yyyy""
  ),
"""")"),"24/03/2026")</f>
        <v>24/03/2026</v>
      </c>
    </row>
    <row r="99">
      <c r="A99" s="85" t="s">
        <v>1204</v>
      </c>
      <c r="B99" s="85" t="s">
        <v>1205</v>
      </c>
      <c r="C99" s="90"/>
      <c r="D99" s="90"/>
      <c r="E99" s="87"/>
      <c r="F99" s="86" t="s">
        <v>914</v>
      </c>
      <c r="G99" s="86" t="s">
        <v>389</v>
      </c>
      <c r="H99" s="87"/>
      <c r="I99" s="87"/>
      <c r="J99" s="86" t="s">
        <v>389</v>
      </c>
      <c r="K99" s="86" t="s">
        <v>390</v>
      </c>
      <c r="L99" s="86" t="s">
        <v>391</v>
      </c>
      <c r="M99" s="86" t="s">
        <v>392</v>
      </c>
      <c r="N99" s="86" t="s">
        <v>1206</v>
      </c>
      <c r="O99" s="86" t="s">
        <v>1207</v>
      </c>
      <c r="P99" s="89" t="str">
        <f>IFERROR(__xludf.DUMMYFUNCTION("IFERROR(
  TEXT(
    DATE(
      INDEX(SPLIT(O99,"" ""),3),
      VLOOKUP(INDEX(SPLIT(O99,"" ""),1),{""jan."",1;""Feb"",2;""mar."",3;""Apr"",4;""May"",5;""jun."",6;""jul."",7;""Aug"",8;""sep"",9;""Oct"",10;""nov."",11;""Dec"",12},2,FALSE),
      INDEX(SPL"&amp;"IT(O99,"" ""),2)
    ),
    ""dd/mm/yyyy""
  ),
"""")"),"08/04/2026")</f>
        <v>08/04/2026</v>
      </c>
    </row>
    <row r="100">
      <c r="A100" s="85" t="s">
        <v>1208</v>
      </c>
      <c r="B100" s="85" t="s">
        <v>1209</v>
      </c>
      <c r="C100" s="90"/>
      <c r="D100" s="90"/>
      <c r="E100" s="87"/>
      <c r="F100" s="86" t="s">
        <v>1210</v>
      </c>
      <c r="G100" s="86" t="s">
        <v>389</v>
      </c>
      <c r="H100" s="87"/>
      <c r="I100" s="87"/>
      <c r="J100" s="86" t="s">
        <v>389</v>
      </c>
      <c r="K100" s="86" t="s">
        <v>390</v>
      </c>
      <c r="L100" s="86" t="s">
        <v>391</v>
      </c>
      <c r="M100" s="86" t="s">
        <v>392</v>
      </c>
      <c r="N100" s="86" t="s">
        <v>691</v>
      </c>
      <c r="O100" s="86" t="s">
        <v>1211</v>
      </c>
      <c r="P100" s="89" t="str">
        <f>IFERROR(__xludf.DUMMYFUNCTION("IFERROR(
  TEXT(
    DATE(
      INDEX(SPLIT(O100,"" ""),3),
      VLOOKUP(INDEX(SPLIT(O100,"" ""),1),{""jan."",1;""Feb"",2;""mar."",3;""Apr"",4;""May"",5;""jun."",6;""jul."",7;""Aug"",8;""sep"",9;""Oct"",10;""nov."",11;""Dec"",12},2,FALSE),
      INDEX(S"&amp;"PLIT(O100,"" ""),2)
    ),
    ""dd/mm/yyyy""
  ),
"""")"),"08/05/2026")</f>
        <v>08/05/2026</v>
      </c>
    </row>
    <row r="101">
      <c r="A101" s="85" t="s">
        <v>1212</v>
      </c>
      <c r="B101" s="85" t="s">
        <v>1213</v>
      </c>
      <c r="C101" s="90"/>
      <c r="D101" s="90"/>
      <c r="E101" s="87"/>
      <c r="F101" s="86" t="s">
        <v>243</v>
      </c>
      <c r="G101" s="86" t="s">
        <v>389</v>
      </c>
      <c r="H101" s="87"/>
      <c r="I101" s="87"/>
      <c r="J101" s="86" t="s">
        <v>389</v>
      </c>
      <c r="K101" s="86" t="s">
        <v>390</v>
      </c>
      <c r="L101" s="86" t="s">
        <v>391</v>
      </c>
      <c r="M101" s="86" t="s">
        <v>392</v>
      </c>
      <c r="N101" s="86" t="s">
        <v>726</v>
      </c>
      <c r="O101" s="86" t="s">
        <v>1214</v>
      </c>
      <c r="P101" s="89" t="str">
        <f>IFERROR(__xludf.DUMMYFUNCTION("IFERROR(
  TEXT(
    DATE(
      INDEX(SPLIT(O101,"" ""),3),
      VLOOKUP(INDEX(SPLIT(O101,"" ""),1),{""jan."",1;""Feb"",2;""mar."",3;""Apr"",4;""May"",5;""jun."",6;""jul."",7;""Aug"",8;""sep"",9;""Oct"",10;""nov."",11;""Dec"",12},2,FALSE),
      INDEX(S"&amp;"PLIT(O101,"" ""),2)
    ),
    ""dd/mm/yyyy""
  ),
"""")"),"13/05/2026")</f>
        <v>13/05/2026</v>
      </c>
    </row>
    <row r="102">
      <c r="A102" s="85" t="s">
        <v>1215</v>
      </c>
      <c r="B102" s="85" t="s">
        <v>1216</v>
      </c>
      <c r="C102" s="90"/>
      <c r="D102" s="90"/>
      <c r="E102" s="87"/>
      <c r="F102" s="86" t="s">
        <v>1217</v>
      </c>
      <c r="G102" s="86" t="s">
        <v>389</v>
      </c>
      <c r="H102" s="87"/>
      <c r="I102" s="87"/>
      <c r="J102" s="86" t="s">
        <v>389</v>
      </c>
      <c r="K102" s="86" t="s">
        <v>390</v>
      </c>
      <c r="L102" s="86" t="s">
        <v>391</v>
      </c>
      <c r="M102" s="86" t="s">
        <v>392</v>
      </c>
      <c r="N102" s="86" t="s">
        <v>1218</v>
      </c>
      <c r="O102" s="86" t="s">
        <v>1219</v>
      </c>
      <c r="P102" s="89" t="str">
        <f>IFERROR(__xludf.DUMMYFUNCTION("IFERROR(
  TEXT(
    DATE(
      INDEX(SPLIT(O102,"" ""),3),
      VLOOKUP(INDEX(SPLIT(O102,"" ""),1),{""jan."",1;""Feb"",2;""mar."",3;""Apr"",4;""May"",5;""jun."",6;""jul."",7;""Aug"",8;""sep"",9;""Oct"",10;""nov."",11;""Dec"",12},2,FALSE),
      INDEX(S"&amp;"PLIT(O102,"" ""),2)
    ),
    ""dd/mm/yyyy""
  ),
"""")"),"06/05/2026")</f>
        <v>06/05/2026</v>
      </c>
    </row>
    <row r="103">
      <c r="A103" s="85" t="s">
        <v>1220</v>
      </c>
      <c r="B103" s="85" t="s">
        <v>1221</v>
      </c>
      <c r="C103" s="90"/>
      <c r="D103" s="90"/>
      <c r="E103" s="87"/>
      <c r="F103" s="86" t="s">
        <v>1222</v>
      </c>
      <c r="G103" s="86" t="s">
        <v>389</v>
      </c>
      <c r="H103" s="87"/>
      <c r="I103" s="87"/>
      <c r="J103" s="86" t="s">
        <v>389</v>
      </c>
      <c r="K103" s="86" t="s">
        <v>390</v>
      </c>
      <c r="L103" s="86" t="s">
        <v>391</v>
      </c>
      <c r="M103" s="86" t="s">
        <v>392</v>
      </c>
      <c r="N103" s="86" t="s">
        <v>1223</v>
      </c>
      <c r="O103" s="86" t="s">
        <v>1224</v>
      </c>
      <c r="P103" s="89" t="str">
        <f>IFERROR(__xludf.DUMMYFUNCTION("IFERROR(
  TEXT(
    DATE(
      INDEX(SPLIT(O103,"" ""),3),
      VLOOKUP(INDEX(SPLIT(O103,"" ""),1),{""jan."",1;""Feb"",2;""mar."",3;""Apr"",4;""May"",5;""jun."",6;""jul."",7;""Aug"",8;""sep"",9;""Oct"",10;""nov."",11;""Dec"",12},2,FALSE),
      INDEX(S"&amp;"PLIT(O103,"" ""),2)
    ),
    ""dd/mm/yyyy""
  ),
"""")"),"10/04/2026")</f>
        <v>10/04/2026</v>
      </c>
    </row>
    <row r="104">
      <c r="A104" s="85" t="s">
        <v>1225</v>
      </c>
      <c r="B104" s="85" t="s">
        <v>1226</v>
      </c>
      <c r="C104" s="90"/>
      <c r="D104" s="90"/>
      <c r="E104" s="87"/>
      <c r="F104" s="86" t="s">
        <v>103</v>
      </c>
      <c r="G104" s="86" t="s">
        <v>389</v>
      </c>
      <c r="H104" s="87"/>
      <c r="I104" s="87"/>
      <c r="J104" s="86" t="s">
        <v>389</v>
      </c>
      <c r="K104" s="86" t="s">
        <v>390</v>
      </c>
      <c r="L104" s="86" t="s">
        <v>391</v>
      </c>
      <c r="M104" s="86" t="s">
        <v>392</v>
      </c>
      <c r="N104" s="86" t="s">
        <v>732</v>
      </c>
      <c r="O104" s="86" t="s">
        <v>1227</v>
      </c>
      <c r="P104" s="89" t="str">
        <f>IFERROR(__xludf.DUMMYFUNCTION("IFERROR(
  TEXT(
    DATE(
      INDEX(SPLIT(O104,"" ""),3),
      VLOOKUP(INDEX(SPLIT(O104,"" ""),1),{""jan."",1;""Feb"",2;""mar."",3;""Apr"",4;""May"",5;""jun."",6;""jul."",7;""Aug"",8;""sep"",9;""Oct"",10;""nov."",11;""Dec"",12},2,FALSE),
      INDEX(S"&amp;"PLIT(O104,"" ""),2)
    ),
    ""dd/mm/yyyy""
  ),
"""")"),"07/05/2026")</f>
        <v>07/05/2026</v>
      </c>
    </row>
    <row r="105">
      <c r="A105" s="85" t="s">
        <v>1228</v>
      </c>
      <c r="B105" s="85" t="s">
        <v>1229</v>
      </c>
      <c r="C105" s="90"/>
      <c r="D105" s="90"/>
      <c r="E105" s="87"/>
      <c r="F105" s="86" t="s">
        <v>1210</v>
      </c>
      <c r="G105" s="86" t="s">
        <v>389</v>
      </c>
      <c r="H105" s="87"/>
      <c r="I105" s="87"/>
      <c r="J105" s="86" t="s">
        <v>389</v>
      </c>
      <c r="K105" s="86" t="s">
        <v>390</v>
      </c>
      <c r="L105" s="86" t="s">
        <v>391</v>
      </c>
      <c r="M105" s="86" t="s">
        <v>392</v>
      </c>
      <c r="N105" s="86" t="s">
        <v>794</v>
      </c>
      <c r="O105" s="88">
        <v>46100.67013888889</v>
      </c>
      <c r="P105" s="89" t="str">
        <f>IFERROR(__xludf.DUMMYFUNCTION("IFERROR(
  TEXT(
    DATE(
      INDEX(SPLIT(O105,"" ""),3),
      VLOOKUP(INDEX(SPLIT(O105,"" ""),1),{""jan."",1;""Feb"",2;""mar."",3;""Apr"",4;""May"",5;""jun."",6;""jul."",7;""Aug"",8;""sep"",9;""Oct"",10;""nov."",11;""Dec"",12},2,FALSE),
      INDEX(S"&amp;"PLIT(O105,"" ""),2)
    ),
    ""dd/mm/yyyy""
  ),
"""")"),"19/03/2026")</f>
        <v>19/03/2026</v>
      </c>
    </row>
    <row r="106">
      <c r="A106" s="85" t="s">
        <v>1230</v>
      </c>
      <c r="B106" s="85" t="s">
        <v>1231</v>
      </c>
      <c r="C106" s="90"/>
      <c r="D106" s="90"/>
      <c r="E106" s="87"/>
      <c r="F106" s="86" t="s">
        <v>1018</v>
      </c>
      <c r="G106" s="86" t="s">
        <v>389</v>
      </c>
      <c r="H106" s="87"/>
      <c r="I106" s="87"/>
      <c r="J106" s="86" t="s">
        <v>389</v>
      </c>
      <c r="K106" s="86" t="s">
        <v>390</v>
      </c>
      <c r="L106" s="86" t="s">
        <v>391</v>
      </c>
      <c r="M106" s="86" t="s">
        <v>392</v>
      </c>
      <c r="N106" s="86" t="s">
        <v>1232</v>
      </c>
      <c r="O106" s="86" t="s">
        <v>1233</v>
      </c>
      <c r="P106" s="89" t="str">
        <f>IFERROR(__xludf.DUMMYFUNCTION("IFERROR(
  TEXT(
    DATE(
      INDEX(SPLIT(O106,"" ""),3),
      VLOOKUP(INDEX(SPLIT(O106,"" ""),1),{""jan."",1;""Feb"",2;""mar."",3;""Apr"",4;""May"",5;""jun."",6;""jul."",7;""Aug"",8;""sep"",9;""Oct"",10;""nov."",11;""Dec"",12},2,FALSE),
      INDEX(S"&amp;"PLIT(O106,"" ""),2)
    ),
    ""dd/mm/yyyy""
  ),
"""")"),"05/05/2026")</f>
        <v>05/05/2026</v>
      </c>
    </row>
    <row r="107">
      <c r="A107" s="85" t="s">
        <v>1234</v>
      </c>
      <c r="B107" s="85" t="s">
        <v>1235</v>
      </c>
      <c r="C107" s="90"/>
      <c r="D107" s="90"/>
      <c r="E107" s="87"/>
      <c r="F107" s="86" t="s">
        <v>1079</v>
      </c>
      <c r="G107" s="86" t="s">
        <v>389</v>
      </c>
      <c r="H107" s="87"/>
      <c r="I107" s="87"/>
      <c r="J107" s="86" t="s">
        <v>389</v>
      </c>
      <c r="K107" s="86" t="s">
        <v>390</v>
      </c>
      <c r="L107" s="86" t="s">
        <v>391</v>
      </c>
      <c r="M107" s="86" t="s">
        <v>392</v>
      </c>
      <c r="N107" s="86" t="s">
        <v>1236</v>
      </c>
      <c r="O107" s="86" t="s">
        <v>1237</v>
      </c>
      <c r="P107" s="89" t="str">
        <f>IFERROR(__xludf.DUMMYFUNCTION("IFERROR(
  TEXT(
    DATE(
      INDEX(SPLIT(O107,"" ""),3),
      VLOOKUP(INDEX(SPLIT(O107,"" ""),1),{""jan."",1;""Feb"",2;""mar."",3;""Apr"",4;""May"",5;""jun."",6;""jul."",7;""Aug"",8;""sep"",9;""Oct"",10;""nov."",11;""Dec"",12},2,FALSE),
      INDEX(S"&amp;"PLIT(O107,"" ""),2)
    ),
    ""dd/mm/yyyy""
  ),
"""")"),"10/04/2026")</f>
        <v>10/04/2026</v>
      </c>
    </row>
    <row r="108">
      <c r="A108" s="85" t="s">
        <v>1238</v>
      </c>
      <c r="B108" s="85" t="s">
        <v>1239</v>
      </c>
      <c r="C108" s="90"/>
      <c r="D108" s="90"/>
      <c r="E108" s="87"/>
      <c r="F108" s="86" t="s">
        <v>1079</v>
      </c>
      <c r="G108" s="86" t="s">
        <v>389</v>
      </c>
      <c r="H108" s="87"/>
      <c r="I108" s="87"/>
      <c r="J108" s="86" t="s">
        <v>389</v>
      </c>
      <c r="K108" s="86" t="s">
        <v>390</v>
      </c>
      <c r="L108" s="86" t="s">
        <v>391</v>
      </c>
      <c r="M108" s="86" t="s">
        <v>392</v>
      </c>
      <c r="N108" s="86" t="s">
        <v>1240</v>
      </c>
      <c r="O108" s="86" t="s">
        <v>1241</v>
      </c>
      <c r="P108" s="89" t="str">
        <f>IFERROR(__xludf.DUMMYFUNCTION("IFERROR(
  TEXT(
    DATE(
      INDEX(SPLIT(O108,"" ""),3),
      VLOOKUP(INDEX(SPLIT(O108,"" ""),1),{""jan."",1;""Feb"",2;""mar."",3;""Apr"",4;""May"",5;""jun."",6;""jul."",7;""Aug"",8;""sep"",9;""Oct"",10;""nov."",11;""Dec"",12},2,FALSE),
      INDEX(S"&amp;"PLIT(O108,"" ""),2)
    ),
    ""dd/mm/yyyy""
  ),
"""")"),"12/05/2026")</f>
        <v>12/05/2026</v>
      </c>
    </row>
    <row r="109">
      <c r="A109" s="85" t="s">
        <v>1242</v>
      </c>
      <c r="B109" s="85" t="s">
        <v>1243</v>
      </c>
      <c r="C109" s="90"/>
      <c r="D109" s="90"/>
      <c r="E109" s="87"/>
      <c r="F109" s="86" t="s">
        <v>180</v>
      </c>
      <c r="G109" s="86" t="s">
        <v>389</v>
      </c>
      <c r="H109" s="87"/>
      <c r="I109" s="87"/>
      <c r="J109" s="86" t="s">
        <v>389</v>
      </c>
      <c r="K109" s="86" t="s">
        <v>390</v>
      </c>
      <c r="L109" s="86" t="s">
        <v>391</v>
      </c>
      <c r="M109" s="86" t="s">
        <v>392</v>
      </c>
      <c r="N109" s="86" t="s">
        <v>1244</v>
      </c>
      <c r="O109" s="86" t="s">
        <v>1178</v>
      </c>
      <c r="P109" s="89" t="str">
        <f>IFERROR(__xludf.DUMMYFUNCTION("IFERROR(
  TEXT(
    DATE(
      INDEX(SPLIT(O109,"" ""),3),
      VLOOKUP(INDEX(SPLIT(O109,"" ""),1),{""jan."",1;""Feb"",2;""mar."",3;""Apr"",4;""May"",5;""jun."",6;""jul."",7;""Aug"",8;""sep"",9;""Oct"",10;""nov."",11;""Dec"",12},2,FALSE),
      INDEX(S"&amp;"PLIT(O109,"" ""),2)
    ),
    ""dd/mm/yyyy""
  ),
"""")"),"27/04/2026")</f>
        <v>27/04/2026</v>
      </c>
    </row>
    <row r="110">
      <c r="A110" s="85" t="s">
        <v>1245</v>
      </c>
      <c r="B110" s="85" t="s">
        <v>1246</v>
      </c>
      <c r="C110" s="90"/>
      <c r="D110" s="90"/>
      <c r="E110" s="87"/>
      <c r="F110" s="86" t="s">
        <v>1033</v>
      </c>
      <c r="G110" s="86" t="s">
        <v>389</v>
      </c>
      <c r="H110" s="87"/>
      <c r="I110" s="87"/>
      <c r="J110" s="86" t="s">
        <v>389</v>
      </c>
      <c r="K110" s="86" t="s">
        <v>390</v>
      </c>
      <c r="L110" s="86" t="s">
        <v>391</v>
      </c>
      <c r="M110" s="86" t="s">
        <v>392</v>
      </c>
      <c r="N110" s="86" t="s">
        <v>1247</v>
      </c>
      <c r="O110" s="86" t="s">
        <v>1248</v>
      </c>
      <c r="P110" s="89" t="str">
        <f>IFERROR(__xludf.DUMMYFUNCTION("IFERROR(
  TEXT(
    DATE(
      INDEX(SPLIT(O110,"" ""),3),
      VLOOKUP(INDEX(SPLIT(O110,"" ""),1),{""jan."",1;""Feb"",2;""mar."",3;""Apr"",4;""May"",5;""jun."",6;""jul."",7;""Aug"",8;""sep"",9;""Oct"",10;""nov."",11;""Dec"",12},2,FALSE),
      INDEX(S"&amp;"PLIT(O110,"" ""),2)
    ),
    ""dd/mm/yyyy""
  ),
"""")"),"29/04/2026")</f>
        <v>29/04/2026</v>
      </c>
    </row>
    <row r="111">
      <c r="A111" s="85" t="s">
        <v>1249</v>
      </c>
      <c r="B111" s="85" t="s">
        <v>1250</v>
      </c>
      <c r="C111" s="86" t="s">
        <v>937</v>
      </c>
      <c r="D111" s="86" t="s">
        <v>388</v>
      </c>
      <c r="E111" s="87"/>
      <c r="F111" s="86" t="s">
        <v>253</v>
      </c>
      <c r="G111" s="86" t="s">
        <v>389</v>
      </c>
      <c r="H111" s="87"/>
      <c r="I111" s="87"/>
      <c r="J111" s="86" t="s">
        <v>389</v>
      </c>
      <c r="K111" s="86" t="s">
        <v>390</v>
      </c>
      <c r="L111" s="86" t="s">
        <v>391</v>
      </c>
      <c r="M111" s="86" t="s">
        <v>392</v>
      </c>
      <c r="N111" s="86" t="s">
        <v>1251</v>
      </c>
      <c r="O111" s="86" t="s">
        <v>1252</v>
      </c>
      <c r="P111" s="89" t="str">
        <f>IFERROR(__xludf.DUMMYFUNCTION("IFERROR(
  TEXT(
    DATE(
      INDEX(SPLIT(O111,"" ""),3),
      VLOOKUP(INDEX(SPLIT(O111,"" ""),1),{""jan."",1;""Feb"",2;""mar."",3;""Apr"",4;""May"",5;""jun."",6;""jul."",7;""Aug"",8;""sep"",9;""Oct"",10;""nov."",11;""Dec"",12},2,FALSE),
      INDEX(S"&amp;"PLIT(O111,"" ""),2)
    ),
    ""dd/mm/yyyy""
  ),
"""")"),"13/12/2024")</f>
        <v>13/12/2024</v>
      </c>
    </row>
    <row r="112">
      <c r="A112" s="85" t="s">
        <v>1253</v>
      </c>
      <c r="B112" s="85" t="s">
        <v>1254</v>
      </c>
      <c r="C112" s="90"/>
      <c r="D112" s="90"/>
      <c r="E112" s="87"/>
      <c r="F112" s="86" t="s">
        <v>86</v>
      </c>
      <c r="G112" s="86" t="s">
        <v>389</v>
      </c>
      <c r="H112" s="87"/>
      <c r="I112" s="87"/>
      <c r="J112" s="86" t="s">
        <v>389</v>
      </c>
      <c r="K112" s="86" t="s">
        <v>390</v>
      </c>
      <c r="L112" s="86" t="s">
        <v>391</v>
      </c>
      <c r="M112" s="86" t="s">
        <v>392</v>
      </c>
      <c r="N112" s="86" t="s">
        <v>1255</v>
      </c>
      <c r="O112" s="86" t="s">
        <v>1256</v>
      </c>
      <c r="P112" s="89" t="str">
        <f>IFERROR(__xludf.DUMMYFUNCTION("IFERROR(
  TEXT(
    DATE(
      INDEX(SPLIT(O112,"" ""),3),
      VLOOKUP(INDEX(SPLIT(O112,"" ""),1),{""jan."",1;""Feb"",2;""mar."",3;""Apr"",4;""May"",5;""jun."",6;""jul."",7;""Aug"",8;""sep"",9;""Oct"",10;""nov."",11;""Dec"",12},2,FALSE),
      INDEX(S"&amp;"PLIT(O112,"" ""),2)
    ),
    ""dd/mm/yyyy""
  ),
"""")"),"18/12/2024")</f>
        <v>18/12/2024</v>
      </c>
    </row>
    <row r="113">
      <c r="A113" s="85" t="s">
        <v>1257</v>
      </c>
      <c r="B113" s="85" t="s">
        <v>1258</v>
      </c>
      <c r="C113" s="86" t="s">
        <v>937</v>
      </c>
      <c r="D113" s="86" t="s">
        <v>388</v>
      </c>
      <c r="E113" s="87"/>
      <c r="F113" s="86" t="s">
        <v>243</v>
      </c>
      <c r="G113" s="86" t="s">
        <v>389</v>
      </c>
      <c r="H113" s="87"/>
      <c r="I113" s="87"/>
      <c r="J113" s="86" t="s">
        <v>389</v>
      </c>
      <c r="K113" s="86" t="s">
        <v>390</v>
      </c>
      <c r="L113" s="86" t="s">
        <v>391</v>
      </c>
      <c r="M113" s="86" t="s">
        <v>392</v>
      </c>
      <c r="N113" s="86" t="s">
        <v>1259</v>
      </c>
      <c r="O113" s="86" t="s">
        <v>1256</v>
      </c>
      <c r="P113" s="89" t="str">
        <f>IFERROR(__xludf.DUMMYFUNCTION("IFERROR(
  TEXT(
    DATE(
      INDEX(SPLIT(O113,"" ""),3),
      VLOOKUP(INDEX(SPLIT(O113,"" ""),1),{""jan."",1;""Feb"",2;""mar."",3;""Apr"",4;""May"",5;""jun."",6;""jul."",7;""Aug"",8;""sep"",9;""Oct"",10;""nov."",11;""Dec"",12},2,FALSE),
      INDEX(S"&amp;"PLIT(O113,"" ""),2)
    ),
    ""dd/mm/yyyy""
  ),
"""")"),"18/12/2024")</f>
        <v>18/12/2024</v>
      </c>
    </row>
    <row r="114">
      <c r="A114" s="85" t="s">
        <v>1260</v>
      </c>
      <c r="B114" s="85" t="s">
        <v>1261</v>
      </c>
      <c r="C114" s="90"/>
      <c r="D114" s="90"/>
      <c r="E114" s="87"/>
      <c r="F114" s="86" t="s">
        <v>86</v>
      </c>
      <c r="G114" s="86" t="s">
        <v>389</v>
      </c>
      <c r="H114" s="87"/>
      <c r="I114" s="87"/>
      <c r="J114" s="86" t="s">
        <v>389</v>
      </c>
      <c r="K114" s="86" t="s">
        <v>390</v>
      </c>
      <c r="L114" s="86" t="s">
        <v>391</v>
      </c>
      <c r="M114" s="86" t="s">
        <v>392</v>
      </c>
      <c r="N114" s="86" t="s">
        <v>1262</v>
      </c>
      <c r="O114" s="86" t="s">
        <v>1256</v>
      </c>
      <c r="P114" s="89" t="str">
        <f>IFERROR(__xludf.DUMMYFUNCTION("IFERROR(
  TEXT(
    DATE(
      INDEX(SPLIT(O114,"" ""),3),
      VLOOKUP(INDEX(SPLIT(O114,"" ""),1),{""jan."",1;""Feb"",2;""mar."",3;""Apr"",4;""May"",5;""jun."",6;""jul."",7;""Aug"",8;""sep"",9;""Oct"",10;""nov."",11;""Dec"",12},2,FALSE),
      INDEX(S"&amp;"PLIT(O114,"" ""),2)
    ),
    ""dd/mm/yyyy""
  ),
"""")"),"18/12/2024")</f>
        <v>18/12/2024</v>
      </c>
    </row>
    <row r="115">
      <c r="A115" s="85" t="s">
        <v>1263</v>
      </c>
      <c r="B115" s="85" t="s">
        <v>1264</v>
      </c>
      <c r="C115" s="86" t="s">
        <v>937</v>
      </c>
      <c r="D115" s="86" t="s">
        <v>388</v>
      </c>
      <c r="E115" s="87"/>
      <c r="F115" s="86" t="s">
        <v>339</v>
      </c>
      <c r="G115" s="86" t="s">
        <v>389</v>
      </c>
      <c r="H115" s="87"/>
      <c r="I115" s="87"/>
      <c r="J115" s="86" t="s">
        <v>389</v>
      </c>
      <c r="K115" s="86" t="s">
        <v>390</v>
      </c>
      <c r="L115" s="86" t="s">
        <v>391</v>
      </c>
      <c r="M115" s="86" t="s">
        <v>392</v>
      </c>
      <c r="N115" s="86" t="s">
        <v>1265</v>
      </c>
      <c r="O115" s="86" t="s">
        <v>1256</v>
      </c>
      <c r="P115" s="89" t="str">
        <f>IFERROR(__xludf.DUMMYFUNCTION("IFERROR(
  TEXT(
    DATE(
      INDEX(SPLIT(O115,"" ""),3),
      VLOOKUP(INDEX(SPLIT(O115,"" ""),1),{""jan."",1;""Feb"",2;""mar."",3;""Apr"",4;""May"",5;""jun."",6;""jul."",7;""Aug"",8;""sep"",9;""Oct"",10;""nov."",11;""Dec"",12},2,FALSE),
      INDEX(S"&amp;"PLIT(O115,"" ""),2)
    ),
    ""dd/mm/yyyy""
  ),
"""")"),"18/12/2024")</f>
        <v>18/12/2024</v>
      </c>
    </row>
    <row r="116">
      <c r="A116" s="85" t="s">
        <v>1266</v>
      </c>
      <c r="B116" s="85" t="s">
        <v>1267</v>
      </c>
      <c r="C116" s="86" t="s">
        <v>937</v>
      </c>
      <c r="D116" s="86" t="s">
        <v>388</v>
      </c>
      <c r="E116" s="87"/>
      <c r="F116" s="86" t="s">
        <v>71</v>
      </c>
      <c r="G116" s="86" t="s">
        <v>389</v>
      </c>
      <c r="H116" s="87"/>
      <c r="I116" s="87"/>
      <c r="J116" s="86" t="s">
        <v>389</v>
      </c>
      <c r="K116" s="86" t="s">
        <v>390</v>
      </c>
      <c r="L116" s="86" t="s">
        <v>391</v>
      </c>
      <c r="M116" s="86" t="s">
        <v>392</v>
      </c>
      <c r="N116" s="86" t="s">
        <v>1268</v>
      </c>
      <c r="O116" s="88">
        <v>45667.666666666664</v>
      </c>
      <c r="P116" s="89" t="str">
        <f>IFERROR(__xludf.DUMMYFUNCTION("IFERROR(
  TEXT(
    DATE(
      INDEX(SPLIT(O116,"" ""),3),
      VLOOKUP(INDEX(SPLIT(O116,"" ""),1),{""jan."",1;""Feb"",2;""mar."",3;""Apr"",4;""May"",5;""jun."",6;""jul."",7;""Aug"",8;""sep"",9;""Oct"",10;""nov."",11;""Dec"",12},2,FALSE),
      INDEX(S"&amp;"PLIT(O116,"" ""),2)
    ),
    ""dd/mm/yyyy""
  ),
"""")"),"10/01/2025")</f>
        <v>10/01/2025</v>
      </c>
    </row>
    <row r="117">
      <c r="A117" s="85" t="s">
        <v>1269</v>
      </c>
      <c r="B117" s="85" t="s">
        <v>1270</v>
      </c>
      <c r="C117" s="86" t="s">
        <v>937</v>
      </c>
      <c r="D117" s="86" t="s">
        <v>388</v>
      </c>
      <c r="E117" s="87"/>
      <c r="F117" s="86" t="s">
        <v>94</v>
      </c>
      <c r="G117" s="86" t="s">
        <v>389</v>
      </c>
      <c r="H117" s="87"/>
      <c r="I117" s="87"/>
      <c r="J117" s="86" t="s">
        <v>389</v>
      </c>
      <c r="K117" s="86" t="s">
        <v>390</v>
      </c>
      <c r="L117" s="86" t="s">
        <v>391</v>
      </c>
      <c r="M117" s="86" t="s">
        <v>392</v>
      </c>
      <c r="N117" s="86" t="s">
        <v>1271</v>
      </c>
      <c r="O117" s="86" t="s">
        <v>1272</v>
      </c>
      <c r="P117" s="89" t="str">
        <f>IFERROR(__xludf.DUMMYFUNCTION("IFERROR(
  TEXT(
    DATE(
      INDEX(SPLIT(O117,"" ""),3),
      VLOOKUP(INDEX(SPLIT(O117,"" ""),1),{""jan."",1;""Feb"",2;""mar."",3;""Apr"",4;""May"",5;""jun."",6;""jul."",7;""Aug"",8;""sep"",9;""Oct"",10;""nov."",11;""Dec"",12},2,FALSE),
      INDEX(S"&amp;"PLIT(O117,"" ""),2)
    ),
    ""dd/mm/yyyy""
  ),
"""")"),"19/12/2024")</f>
        <v>19/12/2024</v>
      </c>
    </row>
    <row r="118">
      <c r="A118" s="85" t="s">
        <v>1273</v>
      </c>
      <c r="B118" s="85" t="s">
        <v>1274</v>
      </c>
      <c r="C118" s="86" t="s">
        <v>937</v>
      </c>
      <c r="D118" s="86" t="s">
        <v>388</v>
      </c>
      <c r="E118" s="87"/>
      <c r="F118" s="86" t="s">
        <v>71</v>
      </c>
      <c r="G118" s="86" t="s">
        <v>389</v>
      </c>
      <c r="H118" s="87"/>
      <c r="I118" s="87"/>
      <c r="J118" s="86" t="s">
        <v>389</v>
      </c>
      <c r="K118" s="86" t="s">
        <v>390</v>
      </c>
      <c r="L118" s="86" t="s">
        <v>391</v>
      </c>
      <c r="M118" s="86" t="s">
        <v>392</v>
      </c>
      <c r="N118" s="86" t="s">
        <v>1275</v>
      </c>
      <c r="O118" s="86" t="s">
        <v>1276</v>
      </c>
      <c r="P118" s="89" t="str">
        <f>IFERROR(__xludf.DUMMYFUNCTION("IFERROR(
  TEXT(
    DATE(
      INDEX(SPLIT(O118,"" ""),3),
      VLOOKUP(INDEX(SPLIT(O118,"" ""),1),{""jan."",1;""Feb"",2;""mar."",3;""Apr"",4;""May"",5;""jun."",6;""jul."",7;""Aug"",8;""sep"",9;""Oct"",10;""nov."",11;""Dec"",12},2,FALSE),
      INDEX(S"&amp;"PLIT(O118,"" ""),2)
    ),
    ""dd/mm/yyyy""
  ),
"""")"),"19/12/2024")</f>
        <v>19/12/2024</v>
      </c>
    </row>
    <row r="119">
      <c r="A119" s="85" t="s">
        <v>1277</v>
      </c>
      <c r="B119" s="85" t="s">
        <v>1278</v>
      </c>
      <c r="C119" s="90"/>
      <c r="D119" s="90"/>
      <c r="E119" s="87"/>
      <c r="F119" s="86" t="s">
        <v>103</v>
      </c>
      <c r="G119" s="86" t="s">
        <v>389</v>
      </c>
      <c r="H119" s="87"/>
      <c r="I119" s="87"/>
      <c r="J119" s="86" t="s">
        <v>389</v>
      </c>
      <c r="K119" s="86" t="s">
        <v>390</v>
      </c>
      <c r="L119" s="86" t="s">
        <v>391</v>
      </c>
      <c r="M119" s="86" t="s">
        <v>392</v>
      </c>
      <c r="N119" s="86" t="s">
        <v>461</v>
      </c>
      <c r="O119" s="88">
        <v>45733.45625</v>
      </c>
      <c r="P119" s="89" t="str">
        <f>IFERROR(__xludf.DUMMYFUNCTION("IFERROR(
  TEXT(
    DATE(
      INDEX(SPLIT(O119,"" ""),3),
      VLOOKUP(INDEX(SPLIT(O119,"" ""),1),{""jan."",1;""Feb"",2;""mar."",3;""Apr"",4;""May"",5;""jun."",6;""jul."",7;""Aug"",8;""sep"",9;""Oct"",10;""nov."",11;""Dec"",12},2,FALSE),
      INDEX(S"&amp;"PLIT(O119,"" ""),2)
    ),
    ""dd/mm/yyyy""
  ),
"""")"),"17/03/2025")</f>
        <v>17/03/2025</v>
      </c>
    </row>
    <row r="120">
      <c r="A120" s="85" t="s">
        <v>1279</v>
      </c>
      <c r="B120" s="85" t="s">
        <v>1280</v>
      </c>
      <c r="C120" s="86" t="s">
        <v>937</v>
      </c>
      <c r="D120" s="86" t="s">
        <v>388</v>
      </c>
      <c r="E120" s="87"/>
      <c r="F120" s="86" t="s">
        <v>131</v>
      </c>
      <c r="G120" s="86" t="s">
        <v>389</v>
      </c>
      <c r="H120" s="87"/>
      <c r="I120" s="87"/>
      <c r="J120" s="86" t="s">
        <v>389</v>
      </c>
      <c r="K120" s="86" t="s">
        <v>390</v>
      </c>
      <c r="L120" s="86" t="s">
        <v>391</v>
      </c>
      <c r="M120" s="86" t="s">
        <v>392</v>
      </c>
      <c r="N120" s="86" t="s">
        <v>1281</v>
      </c>
      <c r="O120" s="88">
        <v>45687.50763888889</v>
      </c>
      <c r="P120" s="89" t="str">
        <f>IFERROR(__xludf.DUMMYFUNCTION("IFERROR(
  TEXT(
    DATE(
      INDEX(SPLIT(O120,"" ""),3),
      VLOOKUP(INDEX(SPLIT(O120,"" ""),1),{""jan."",1;""Feb"",2;""mar."",3;""Apr"",4;""May"",5;""jun."",6;""jul."",7;""Aug"",8;""sep"",9;""Oct"",10;""nov."",11;""Dec"",12},2,FALSE),
      INDEX(S"&amp;"PLIT(O120,"" ""),2)
    ),
    ""dd/mm/yyyy""
  ),
"""")"),"30/01/2025")</f>
        <v>30/01/2025</v>
      </c>
    </row>
    <row r="121">
      <c r="A121" s="85" t="s">
        <v>1282</v>
      </c>
      <c r="B121" s="85" t="s">
        <v>1283</v>
      </c>
      <c r="C121" s="86" t="s">
        <v>937</v>
      </c>
      <c r="D121" s="86" t="s">
        <v>388</v>
      </c>
      <c r="E121" s="87"/>
      <c r="F121" s="86" t="s">
        <v>103</v>
      </c>
      <c r="G121" s="86" t="s">
        <v>389</v>
      </c>
      <c r="H121" s="87"/>
      <c r="I121" s="87"/>
      <c r="J121" s="86" t="s">
        <v>389</v>
      </c>
      <c r="K121" s="86" t="s">
        <v>390</v>
      </c>
      <c r="L121" s="86" t="s">
        <v>391</v>
      </c>
      <c r="M121" s="86" t="s">
        <v>392</v>
      </c>
      <c r="N121" s="86" t="s">
        <v>1281</v>
      </c>
      <c r="O121" s="88">
        <v>45733.458333333336</v>
      </c>
      <c r="P121" s="89" t="str">
        <f>IFERROR(__xludf.DUMMYFUNCTION("IFERROR(
  TEXT(
    DATE(
      INDEX(SPLIT(O121,"" ""),3),
      VLOOKUP(INDEX(SPLIT(O121,"" ""),1),{""jan."",1;""Feb"",2;""mar."",3;""Apr"",4;""May"",5;""jun."",6;""jul."",7;""Aug"",8;""sep"",9;""Oct"",10;""nov."",11;""Dec"",12},2,FALSE),
      INDEX(S"&amp;"PLIT(O121,"" ""),2)
    ),
    ""dd/mm/yyyy""
  ),
"""")"),"17/03/2025")</f>
        <v>17/03/2025</v>
      </c>
    </row>
    <row r="122">
      <c r="A122" s="85" t="s">
        <v>1284</v>
      </c>
      <c r="B122" s="85" t="s">
        <v>1285</v>
      </c>
      <c r="C122" s="86" t="s">
        <v>937</v>
      </c>
      <c r="D122" s="86" t="s">
        <v>388</v>
      </c>
      <c r="E122" s="87"/>
      <c r="F122" s="86" t="s">
        <v>253</v>
      </c>
      <c r="G122" s="86" t="s">
        <v>389</v>
      </c>
      <c r="H122" s="87"/>
      <c r="I122" s="87"/>
      <c r="J122" s="86" t="s">
        <v>389</v>
      </c>
      <c r="K122" s="86" t="s">
        <v>390</v>
      </c>
      <c r="L122" s="86" t="s">
        <v>391</v>
      </c>
      <c r="M122" s="86" t="s">
        <v>392</v>
      </c>
      <c r="N122" s="86" t="s">
        <v>1286</v>
      </c>
      <c r="O122" s="86" t="s">
        <v>1287</v>
      </c>
      <c r="P122" s="89" t="str">
        <f>IFERROR(__xludf.DUMMYFUNCTION("IFERROR(
  TEXT(
    DATE(
      INDEX(SPLIT(O122,"" ""),3),
      VLOOKUP(INDEX(SPLIT(O122,"" ""),1),{""jan."",1;""Feb"",2;""mar."",3;""Apr"",4;""May"",5;""jun."",6;""jul."",7;""Aug"",8;""sep"",9;""Oct"",10;""nov."",11;""Dec"",12},2,FALSE),
      INDEX(S"&amp;"PLIT(O122,"" ""),2)
    ),
    ""dd/mm/yyyy""
  ),
"""")"),"19/12/2024")</f>
        <v>19/12/2024</v>
      </c>
    </row>
    <row r="123">
      <c r="A123" s="85" t="s">
        <v>1288</v>
      </c>
      <c r="B123" s="85" t="s">
        <v>1289</v>
      </c>
      <c r="C123" s="90"/>
      <c r="D123" s="90"/>
      <c r="E123" s="87"/>
      <c r="F123" s="86" t="s">
        <v>86</v>
      </c>
      <c r="G123" s="86" t="s">
        <v>389</v>
      </c>
      <c r="H123" s="87"/>
      <c r="I123" s="87"/>
      <c r="J123" s="86" t="s">
        <v>389</v>
      </c>
      <c r="K123" s="86" t="s">
        <v>390</v>
      </c>
      <c r="L123" s="86" t="s">
        <v>391</v>
      </c>
      <c r="M123" s="86" t="s">
        <v>392</v>
      </c>
      <c r="N123" s="86" t="s">
        <v>1290</v>
      </c>
      <c r="O123" s="86" t="s">
        <v>1291</v>
      </c>
      <c r="P123" s="89" t="str">
        <f>IFERROR(__xludf.DUMMYFUNCTION("IFERROR(
  TEXT(
    DATE(
      INDEX(SPLIT(O123,"" ""),3),
      VLOOKUP(INDEX(SPLIT(O123,"" ""),1),{""jan."",1;""Feb"",2;""mar."",3;""Apr"",4;""May"",5;""jun."",6;""jul."",7;""Aug"",8;""sep"",9;""Oct"",10;""nov."",11;""Dec"",12},2,FALSE),
      INDEX(S"&amp;"PLIT(O123,"" ""),2)
    ),
    ""dd/mm/yyyy""
  ),
"""")"),"19/12/2024")</f>
        <v>19/12/2024</v>
      </c>
    </row>
    <row r="124">
      <c r="A124" s="85" t="s">
        <v>1292</v>
      </c>
      <c r="B124" s="85" t="s">
        <v>1293</v>
      </c>
      <c r="C124" s="86" t="s">
        <v>937</v>
      </c>
      <c r="D124" s="86" t="s">
        <v>388</v>
      </c>
      <c r="E124" s="87"/>
      <c r="F124" s="86" t="s">
        <v>253</v>
      </c>
      <c r="G124" s="86" t="s">
        <v>389</v>
      </c>
      <c r="H124" s="87"/>
      <c r="I124" s="87"/>
      <c r="J124" s="86" t="s">
        <v>389</v>
      </c>
      <c r="K124" s="86" t="s">
        <v>390</v>
      </c>
      <c r="L124" s="86" t="s">
        <v>391</v>
      </c>
      <c r="M124" s="86" t="s">
        <v>392</v>
      </c>
      <c r="N124" s="86" t="s">
        <v>1294</v>
      </c>
      <c r="O124" s="86" t="s">
        <v>1287</v>
      </c>
      <c r="P124" s="89" t="str">
        <f>IFERROR(__xludf.DUMMYFUNCTION("IFERROR(
  TEXT(
    DATE(
      INDEX(SPLIT(O124,"" ""),3),
      VLOOKUP(INDEX(SPLIT(O124,"" ""),1),{""jan."",1;""Feb"",2;""mar."",3;""Apr"",4;""May"",5;""jun."",6;""jul."",7;""Aug"",8;""sep"",9;""Oct"",10;""nov."",11;""Dec"",12},2,FALSE),
      INDEX(S"&amp;"PLIT(O124,"" ""),2)
    ),
    ""dd/mm/yyyy""
  ),
"""")"),"19/12/2024")</f>
        <v>19/12/2024</v>
      </c>
    </row>
    <row r="125">
      <c r="A125" s="85" t="s">
        <v>1295</v>
      </c>
      <c r="B125" s="85" t="s">
        <v>1296</v>
      </c>
      <c r="C125" s="90"/>
      <c r="D125" s="90"/>
      <c r="E125" s="87"/>
      <c r="F125" s="86" t="s">
        <v>86</v>
      </c>
      <c r="G125" s="86" t="s">
        <v>389</v>
      </c>
      <c r="H125" s="87"/>
      <c r="I125" s="87"/>
      <c r="J125" s="86" t="s">
        <v>389</v>
      </c>
      <c r="K125" s="86" t="s">
        <v>390</v>
      </c>
      <c r="L125" s="86" t="s">
        <v>391</v>
      </c>
      <c r="M125" s="86" t="s">
        <v>392</v>
      </c>
      <c r="N125" s="86" t="s">
        <v>1297</v>
      </c>
      <c r="O125" s="86" t="s">
        <v>1287</v>
      </c>
      <c r="P125" s="89" t="str">
        <f>IFERROR(__xludf.DUMMYFUNCTION("IFERROR(
  TEXT(
    DATE(
      INDEX(SPLIT(O125,"" ""),3),
      VLOOKUP(INDEX(SPLIT(O125,"" ""),1),{""jan."",1;""Feb"",2;""mar."",3;""Apr"",4;""May"",5;""jun."",6;""jul."",7;""Aug"",8;""sep"",9;""Oct"",10;""nov."",11;""Dec"",12},2,FALSE),
      INDEX(S"&amp;"PLIT(O125,"" ""),2)
    ),
    ""dd/mm/yyyy""
  ),
"""")"),"19/12/2024")</f>
        <v>19/12/2024</v>
      </c>
    </row>
    <row r="126">
      <c r="A126" s="85" t="s">
        <v>1298</v>
      </c>
      <c r="B126" s="85" t="s">
        <v>1299</v>
      </c>
      <c r="C126" s="86" t="s">
        <v>937</v>
      </c>
      <c r="D126" s="86" t="s">
        <v>388</v>
      </c>
      <c r="E126" s="87"/>
      <c r="F126" s="86" t="s">
        <v>253</v>
      </c>
      <c r="G126" s="86" t="s">
        <v>389</v>
      </c>
      <c r="H126" s="87"/>
      <c r="I126" s="87"/>
      <c r="J126" s="86" t="s">
        <v>389</v>
      </c>
      <c r="K126" s="86" t="s">
        <v>390</v>
      </c>
      <c r="L126" s="86" t="s">
        <v>391</v>
      </c>
      <c r="M126" s="86" t="s">
        <v>392</v>
      </c>
      <c r="N126" s="86" t="s">
        <v>657</v>
      </c>
      <c r="O126" s="86" t="s">
        <v>1287</v>
      </c>
      <c r="P126" s="89" t="str">
        <f>IFERROR(__xludf.DUMMYFUNCTION("IFERROR(
  TEXT(
    DATE(
      INDEX(SPLIT(O126,"" ""),3),
      VLOOKUP(INDEX(SPLIT(O126,"" ""),1),{""jan."",1;""Feb"",2;""mar."",3;""Apr"",4;""May"",5;""jun."",6;""jul."",7;""Aug"",8;""sep"",9;""Oct"",10;""nov."",11;""Dec"",12},2,FALSE),
      INDEX(S"&amp;"PLIT(O126,"" ""),2)
    ),
    ""dd/mm/yyyy""
  ),
"""")"),"19/12/2024")</f>
        <v>19/12/2024</v>
      </c>
    </row>
    <row r="127">
      <c r="A127" s="85" t="s">
        <v>1300</v>
      </c>
      <c r="B127" s="85" t="s">
        <v>1301</v>
      </c>
      <c r="C127" s="90"/>
      <c r="D127" s="90"/>
      <c r="E127" s="87"/>
      <c r="F127" s="86" t="s">
        <v>103</v>
      </c>
      <c r="G127" s="86" t="s">
        <v>389</v>
      </c>
      <c r="H127" s="87"/>
      <c r="I127" s="87"/>
      <c r="J127" s="86" t="s">
        <v>389</v>
      </c>
      <c r="K127" s="86" t="s">
        <v>390</v>
      </c>
      <c r="L127" s="86" t="s">
        <v>391</v>
      </c>
      <c r="M127" s="86" t="s">
        <v>392</v>
      </c>
      <c r="N127" s="86" t="s">
        <v>1302</v>
      </c>
      <c r="O127" s="86" t="s">
        <v>1303</v>
      </c>
      <c r="P127" s="89" t="str">
        <f>IFERROR(__xludf.DUMMYFUNCTION("IFERROR(
  TEXT(
    DATE(
      INDEX(SPLIT(O127,"" ""),3),
      VLOOKUP(INDEX(SPLIT(O127,"" ""),1),{""jan."",1;""Feb"",2;""mar."",3;""Apr"",4;""May"",5;""jun."",6;""jul."",7;""Aug"",8;""sep"",9;""Oct"",10;""nov."",11;""Dec"",12},2,FALSE),
      INDEX(S"&amp;"PLIT(O127,"" ""),2)
    ),
    ""dd/mm/yyyy""
  ),
"""")"),"13/05/2026")</f>
        <v>13/05/2026</v>
      </c>
    </row>
    <row r="128">
      <c r="A128" s="85" t="s">
        <v>1304</v>
      </c>
      <c r="B128" s="85" t="s">
        <v>1305</v>
      </c>
      <c r="C128" s="86" t="s">
        <v>387</v>
      </c>
      <c r="D128" s="86" t="s">
        <v>388</v>
      </c>
      <c r="E128" s="87"/>
      <c r="F128" s="86" t="s">
        <v>103</v>
      </c>
      <c r="G128" s="86" t="s">
        <v>389</v>
      </c>
      <c r="H128" s="87"/>
      <c r="I128" s="87"/>
      <c r="J128" s="86" t="s">
        <v>389</v>
      </c>
      <c r="K128" s="86" t="s">
        <v>390</v>
      </c>
      <c r="L128" s="86" t="s">
        <v>391</v>
      </c>
      <c r="M128" s="86" t="s">
        <v>392</v>
      </c>
      <c r="N128" s="86" t="s">
        <v>1306</v>
      </c>
      <c r="O128" s="86" t="s">
        <v>1303</v>
      </c>
      <c r="P128" s="89" t="str">
        <f>IFERROR(__xludf.DUMMYFUNCTION("IFERROR(
  TEXT(
    DATE(
      INDEX(SPLIT(O128,"" ""),3),
      VLOOKUP(INDEX(SPLIT(O128,"" ""),1),{""jan."",1;""Feb"",2;""mar."",3;""Apr"",4;""May"",5;""jun."",6;""jul."",7;""Aug"",8;""sep"",9;""Oct"",10;""nov."",11;""Dec"",12},2,FALSE),
      INDEX(S"&amp;"PLIT(O128,"" ""),2)
    ),
    ""dd/mm/yyyy""
  ),
"""")"),"13/05/2026")</f>
        <v>13/05/2026</v>
      </c>
    </row>
    <row r="129">
      <c r="A129" s="85" t="s">
        <v>1307</v>
      </c>
      <c r="B129" s="85" t="s">
        <v>1308</v>
      </c>
      <c r="C129" s="90"/>
      <c r="D129" s="90"/>
      <c r="E129" s="87"/>
      <c r="F129" s="86" t="s">
        <v>94</v>
      </c>
      <c r="G129" s="86" t="s">
        <v>389</v>
      </c>
      <c r="H129" s="87"/>
      <c r="I129" s="87"/>
      <c r="J129" s="86" t="s">
        <v>389</v>
      </c>
      <c r="K129" s="86" t="s">
        <v>390</v>
      </c>
      <c r="L129" s="86" t="s">
        <v>391</v>
      </c>
      <c r="M129" s="86" t="s">
        <v>392</v>
      </c>
      <c r="N129" s="86" t="s">
        <v>1309</v>
      </c>
      <c r="O129" s="88">
        <v>45667.666666666664</v>
      </c>
      <c r="P129" s="89" t="str">
        <f>IFERROR(__xludf.DUMMYFUNCTION("IFERROR(
  TEXT(
    DATE(
      INDEX(SPLIT(O129,"" ""),3),
      VLOOKUP(INDEX(SPLIT(O129,"" ""),1),{""jan."",1;""Feb"",2;""mar."",3;""Apr"",4;""May"",5;""jun."",6;""jul."",7;""Aug"",8;""sep"",9;""Oct"",10;""nov."",11;""Dec"",12},2,FALSE),
      INDEX(S"&amp;"PLIT(O129,"" ""),2)
    ),
    ""dd/mm/yyyy""
  ),
"""")"),"10/01/2025")</f>
        <v>10/01/2025</v>
      </c>
    </row>
    <row r="130">
      <c r="A130" s="85" t="s">
        <v>1310</v>
      </c>
      <c r="B130" s="85" t="s">
        <v>1311</v>
      </c>
      <c r="C130" s="86" t="s">
        <v>937</v>
      </c>
      <c r="D130" s="86" t="s">
        <v>388</v>
      </c>
      <c r="E130" s="87"/>
      <c r="F130" s="86" t="s">
        <v>71</v>
      </c>
      <c r="G130" s="86" t="s">
        <v>389</v>
      </c>
      <c r="H130" s="87"/>
      <c r="I130" s="87"/>
      <c r="J130" s="86" t="s">
        <v>389</v>
      </c>
      <c r="K130" s="86" t="s">
        <v>390</v>
      </c>
      <c r="L130" s="86" t="s">
        <v>391</v>
      </c>
      <c r="M130" s="86" t="s">
        <v>392</v>
      </c>
      <c r="N130" s="86" t="s">
        <v>1312</v>
      </c>
      <c r="O130" s="88">
        <v>45667.666666666664</v>
      </c>
      <c r="P130" s="89" t="str">
        <f>IFERROR(__xludf.DUMMYFUNCTION("IFERROR(
  TEXT(
    DATE(
      INDEX(SPLIT(O130,"" ""),3),
      VLOOKUP(INDEX(SPLIT(O130,"" ""),1),{""jan."",1;""Feb"",2;""mar."",3;""Apr"",4;""May"",5;""jun."",6;""jul."",7;""Aug"",8;""sep"",9;""Oct"",10;""nov."",11;""Dec"",12},2,FALSE),
      INDEX(S"&amp;"PLIT(O130,"" ""),2)
    ),
    ""dd/mm/yyyy""
  ),
"""")"),"10/01/2025")</f>
        <v>10/01/2025</v>
      </c>
    </row>
    <row r="131">
      <c r="A131" s="85" t="s">
        <v>1313</v>
      </c>
      <c r="B131" s="85" t="s">
        <v>1314</v>
      </c>
      <c r="C131" s="90"/>
      <c r="D131" s="90"/>
      <c r="E131" s="87"/>
      <c r="F131" s="86" t="s">
        <v>94</v>
      </c>
      <c r="G131" s="86" t="s">
        <v>389</v>
      </c>
      <c r="H131" s="87"/>
      <c r="I131" s="87"/>
      <c r="J131" s="86" t="s">
        <v>389</v>
      </c>
      <c r="K131" s="86" t="s">
        <v>390</v>
      </c>
      <c r="L131" s="86" t="s">
        <v>391</v>
      </c>
      <c r="M131" s="86" t="s">
        <v>392</v>
      </c>
      <c r="N131" s="86" t="s">
        <v>1315</v>
      </c>
      <c r="O131" s="88">
        <v>45667.666666666664</v>
      </c>
      <c r="P131" s="89" t="str">
        <f>IFERROR(__xludf.DUMMYFUNCTION("IFERROR(
  TEXT(
    DATE(
      INDEX(SPLIT(O131,"" ""),3),
      VLOOKUP(INDEX(SPLIT(O131,"" ""),1),{""jan."",1;""Feb"",2;""mar."",3;""Apr"",4;""May"",5;""jun."",6;""jul."",7;""Aug"",8;""sep"",9;""Oct"",10;""nov."",11;""Dec"",12},2,FALSE),
      INDEX(S"&amp;"PLIT(O131,"" ""),2)
    ),
    ""dd/mm/yyyy""
  ),
"""")"),"10/01/2025")</f>
        <v>10/01/2025</v>
      </c>
    </row>
    <row r="132">
      <c r="A132" s="85" t="s">
        <v>1316</v>
      </c>
      <c r="B132" s="85" t="s">
        <v>1317</v>
      </c>
      <c r="C132" s="86" t="s">
        <v>937</v>
      </c>
      <c r="D132" s="86" t="s">
        <v>388</v>
      </c>
      <c r="E132" s="87"/>
      <c r="F132" s="86" t="s">
        <v>94</v>
      </c>
      <c r="G132" s="86" t="s">
        <v>389</v>
      </c>
      <c r="H132" s="87"/>
      <c r="I132" s="87"/>
      <c r="J132" s="86" t="s">
        <v>389</v>
      </c>
      <c r="K132" s="86" t="s">
        <v>390</v>
      </c>
      <c r="L132" s="86" t="s">
        <v>391</v>
      </c>
      <c r="M132" s="86" t="s">
        <v>392</v>
      </c>
      <c r="N132" s="86" t="s">
        <v>1318</v>
      </c>
      <c r="O132" s="88">
        <v>45667.666666666664</v>
      </c>
      <c r="P132" s="89" t="str">
        <f>IFERROR(__xludf.DUMMYFUNCTION("IFERROR(
  TEXT(
    DATE(
      INDEX(SPLIT(O132,"" ""),3),
      VLOOKUP(INDEX(SPLIT(O132,"" ""),1),{""jan."",1;""Feb"",2;""mar."",3;""Apr"",4;""May"",5;""jun."",6;""jul."",7;""Aug"",8;""sep"",9;""Oct"",10;""nov."",11;""Dec"",12},2,FALSE),
      INDEX(S"&amp;"PLIT(O132,"" ""),2)
    ),
    ""dd/mm/yyyy""
  ),
"""")"),"10/01/2025")</f>
        <v>10/01/2025</v>
      </c>
    </row>
    <row r="133">
      <c r="A133" s="85" t="s">
        <v>1319</v>
      </c>
      <c r="B133" s="85" t="s">
        <v>1320</v>
      </c>
      <c r="C133" s="90"/>
      <c r="D133" s="90"/>
      <c r="E133" s="87"/>
      <c r="F133" s="86" t="s">
        <v>86</v>
      </c>
      <c r="G133" s="86" t="s">
        <v>389</v>
      </c>
      <c r="H133" s="87"/>
      <c r="I133" s="87"/>
      <c r="J133" s="86" t="s">
        <v>389</v>
      </c>
      <c r="K133" s="86" t="s">
        <v>390</v>
      </c>
      <c r="L133" s="86" t="s">
        <v>391</v>
      </c>
      <c r="M133" s="86" t="s">
        <v>392</v>
      </c>
      <c r="N133" s="86" t="s">
        <v>1321</v>
      </c>
      <c r="O133" s="86" t="s">
        <v>1287</v>
      </c>
      <c r="P133" s="89" t="str">
        <f>IFERROR(__xludf.DUMMYFUNCTION("IFERROR(
  TEXT(
    DATE(
      INDEX(SPLIT(O133,"" ""),3),
      VLOOKUP(INDEX(SPLIT(O133,"" ""),1),{""jan."",1;""Feb"",2;""mar."",3;""Apr"",4;""May"",5;""jun."",6;""jul."",7;""Aug"",8;""sep"",9;""Oct"",10;""nov."",11;""Dec"",12},2,FALSE),
      INDEX(S"&amp;"PLIT(O133,"" ""),2)
    ),
    ""dd/mm/yyyy""
  ),
"""")"),"19/12/2024")</f>
        <v>19/12/2024</v>
      </c>
    </row>
    <row r="134">
      <c r="A134" s="85" t="s">
        <v>1322</v>
      </c>
      <c r="B134" s="85" t="s">
        <v>1323</v>
      </c>
      <c r="C134" s="86" t="s">
        <v>937</v>
      </c>
      <c r="D134" s="86" t="s">
        <v>388</v>
      </c>
      <c r="E134" s="87"/>
      <c r="F134" s="86" t="s">
        <v>253</v>
      </c>
      <c r="G134" s="86" t="s">
        <v>389</v>
      </c>
      <c r="H134" s="87"/>
      <c r="I134" s="87"/>
      <c r="J134" s="86" t="s">
        <v>389</v>
      </c>
      <c r="K134" s="86" t="s">
        <v>390</v>
      </c>
      <c r="L134" s="86" t="s">
        <v>391</v>
      </c>
      <c r="M134" s="86" t="s">
        <v>392</v>
      </c>
      <c r="N134" s="86" t="s">
        <v>1324</v>
      </c>
      <c r="O134" s="86" t="s">
        <v>1287</v>
      </c>
      <c r="P134" s="89" t="str">
        <f>IFERROR(__xludf.DUMMYFUNCTION("IFERROR(
  TEXT(
    DATE(
      INDEX(SPLIT(O134,"" ""),3),
      VLOOKUP(INDEX(SPLIT(O134,"" ""),1),{""jan."",1;""Feb"",2;""mar."",3;""Apr"",4;""May"",5;""jun."",6;""jul."",7;""Aug"",8;""sep"",9;""Oct"",10;""nov."",11;""Dec"",12},2,FALSE),
      INDEX(S"&amp;"PLIT(O134,"" ""),2)
    ),
    ""dd/mm/yyyy""
  ),
"""")"),"19/12/2024")</f>
        <v>19/12/2024</v>
      </c>
    </row>
    <row r="135">
      <c r="A135" s="85" t="s">
        <v>1325</v>
      </c>
      <c r="B135" s="85" t="s">
        <v>1326</v>
      </c>
      <c r="C135" s="86" t="s">
        <v>937</v>
      </c>
      <c r="D135" s="86" t="s">
        <v>388</v>
      </c>
      <c r="E135" s="87"/>
      <c r="F135" s="86" t="s">
        <v>122</v>
      </c>
      <c r="G135" s="86" t="s">
        <v>389</v>
      </c>
      <c r="H135" s="87"/>
      <c r="I135" s="87"/>
      <c r="J135" s="86" t="s">
        <v>389</v>
      </c>
      <c r="K135" s="86" t="s">
        <v>390</v>
      </c>
      <c r="L135" s="86" t="s">
        <v>391</v>
      </c>
      <c r="M135" s="86" t="s">
        <v>392</v>
      </c>
      <c r="N135" s="86" t="s">
        <v>1327</v>
      </c>
      <c r="O135" s="86" t="s">
        <v>1144</v>
      </c>
      <c r="P135" s="89" t="str">
        <f>IFERROR(__xludf.DUMMYFUNCTION("IFERROR(
  TEXT(
    DATE(
      INDEX(SPLIT(O135,"" ""),3),
      VLOOKUP(INDEX(SPLIT(O135,"" ""),1),{""jan."",1;""Feb"",2;""mar."",3;""Apr"",4;""May"",5;""jun."",6;""jul."",7;""Aug"",8;""sep"",9;""Oct"",10;""nov."",11;""Dec"",12},2,FALSE),
      INDEX(S"&amp;"PLIT(O135,"" ""),2)
    ),
    ""dd/mm/yyyy""
  ),
"""")"),"05/05/2026")</f>
        <v>05/05/2026</v>
      </c>
    </row>
    <row r="136">
      <c r="A136" s="85" t="s">
        <v>1328</v>
      </c>
      <c r="B136" s="85" t="s">
        <v>1329</v>
      </c>
      <c r="C136" s="86" t="s">
        <v>937</v>
      </c>
      <c r="D136" s="86" t="s">
        <v>388</v>
      </c>
      <c r="E136" s="87"/>
      <c r="F136" s="86" t="s">
        <v>292</v>
      </c>
      <c r="G136" s="86" t="s">
        <v>389</v>
      </c>
      <c r="H136" s="87"/>
      <c r="I136" s="87"/>
      <c r="J136" s="86" t="s">
        <v>389</v>
      </c>
      <c r="K136" s="86" t="s">
        <v>390</v>
      </c>
      <c r="L136" s="86" t="s">
        <v>391</v>
      </c>
      <c r="M136" s="86" t="s">
        <v>392</v>
      </c>
      <c r="N136" s="86" t="s">
        <v>1330</v>
      </c>
      <c r="O136" s="86" t="s">
        <v>1148</v>
      </c>
      <c r="P136" s="89" t="str">
        <f>IFERROR(__xludf.DUMMYFUNCTION("IFERROR(
  TEXT(
    DATE(
      INDEX(SPLIT(O136,"" ""),3),
      VLOOKUP(INDEX(SPLIT(O136,"" ""),1),{""jan."",1;""Feb"",2;""mar."",3;""Apr"",4;""May"",5;""jun."",6;""jul."",7;""Aug"",8;""sep"",9;""Oct"",10;""nov."",11;""Dec"",12},2,FALSE),
      INDEX(S"&amp;"PLIT(O136,"" ""),2)
    ),
    ""dd/mm/yyyy""
  ),
"""")"),"03/02/2026")</f>
        <v>03/02/2026</v>
      </c>
    </row>
    <row r="137">
      <c r="A137" s="85" t="s">
        <v>1331</v>
      </c>
      <c r="B137" s="85" t="s">
        <v>1332</v>
      </c>
      <c r="C137" s="86" t="s">
        <v>937</v>
      </c>
      <c r="D137" s="86" t="s">
        <v>388</v>
      </c>
      <c r="E137" s="87"/>
      <c r="F137" s="86" t="s">
        <v>307</v>
      </c>
      <c r="G137" s="86" t="s">
        <v>389</v>
      </c>
      <c r="H137" s="87"/>
      <c r="I137" s="87"/>
      <c r="J137" s="86" t="s">
        <v>389</v>
      </c>
      <c r="K137" s="86" t="s">
        <v>390</v>
      </c>
      <c r="L137" s="86" t="s">
        <v>391</v>
      </c>
      <c r="M137" s="86" t="s">
        <v>392</v>
      </c>
      <c r="N137" s="86" t="s">
        <v>1333</v>
      </c>
      <c r="O137" s="88">
        <v>46085.62222222222</v>
      </c>
      <c r="P137" s="89" t="str">
        <f>IFERROR(__xludf.DUMMYFUNCTION("IFERROR(
  TEXT(
    DATE(
      INDEX(SPLIT(O137,"" ""),3),
      VLOOKUP(INDEX(SPLIT(O137,"" ""),1),{""jan."",1;""Feb"",2;""mar."",3;""Apr"",4;""May"",5;""jun."",6;""jul."",7;""Aug"",8;""sep"",9;""Oct"",10;""nov."",11;""Dec"",12},2,FALSE),
      INDEX(S"&amp;"PLIT(O137,"" ""),2)
    ),
    ""dd/mm/yyyy""
  ),
"""")"),"04/03/2026")</f>
        <v>04/03/2026</v>
      </c>
    </row>
    <row r="138">
      <c r="A138" s="85" t="s">
        <v>1334</v>
      </c>
      <c r="B138" s="85" t="s">
        <v>1335</v>
      </c>
      <c r="C138" s="86" t="s">
        <v>937</v>
      </c>
      <c r="D138" s="86" t="s">
        <v>388</v>
      </c>
      <c r="E138" s="87"/>
      <c r="F138" s="86" t="s">
        <v>217</v>
      </c>
      <c r="G138" s="86" t="s">
        <v>389</v>
      </c>
      <c r="H138" s="87"/>
      <c r="I138" s="87"/>
      <c r="J138" s="86" t="s">
        <v>389</v>
      </c>
      <c r="K138" s="86" t="s">
        <v>390</v>
      </c>
      <c r="L138" s="86" t="s">
        <v>391</v>
      </c>
      <c r="M138" s="86" t="s">
        <v>392</v>
      </c>
      <c r="N138" s="86" t="s">
        <v>1336</v>
      </c>
      <c r="O138" s="86" t="s">
        <v>1337</v>
      </c>
      <c r="P138" s="89" t="str">
        <f>IFERROR(__xludf.DUMMYFUNCTION("IFERROR(
  TEXT(
    DATE(
      INDEX(SPLIT(O138,"" ""),3),
      VLOOKUP(INDEX(SPLIT(O138,"" ""),1),{""jan."",1;""Feb"",2;""mar."",3;""Apr"",4;""May"",5;""jun."",6;""jul."",7;""Aug"",8;""sep"",9;""Oct"",10;""nov."",11;""Dec"",12},2,FALSE),
      INDEX(S"&amp;"PLIT(O138,"" ""),2)
    ),
    ""dd/mm/yyyy""
  ),
"""")"),"24/04/2026")</f>
        <v>24/04/2026</v>
      </c>
    </row>
    <row r="139">
      <c r="A139" s="85" t="s">
        <v>1338</v>
      </c>
      <c r="B139" s="85" t="s">
        <v>1339</v>
      </c>
      <c r="C139" s="86" t="s">
        <v>937</v>
      </c>
      <c r="D139" s="86" t="s">
        <v>388</v>
      </c>
      <c r="E139" s="87"/>
      <c r="F139" s="86" t="s">
        <v>176</v>
      </c>
      <c r="G139" s="86" t="s">
        <v>389</v>
      </c>
      <c r="H139" s="87"/>
      <c r="I139" s="87"/>
      <c r="J139" s="86" t="s">
        <v>389</v>
      </c>
      <c r="K139" s="86" t="s">
        <v>390</v>
      </c>
      <c r="L139" s="86" t="s">
        <v>391</v>
      </c>
      <c r="M139" s="86" t="s">
        <v>392</v>
      </c>
      <c r="N139" s="86" t="s">
        <v>1340</v>
      </c>
      <c r="O139" s="86" t="s">
        <v>1341</v>
      </c>
      <c r="P139" s="89" t="str">
        <f>IFERROR(__xludf.DUMMYFUNCTION("IFERROR(
  TEXT(
    DATE(
      INDEX(SPLIT(O139,"" ""),3),
      VLOOKUP(INDEX(SPLIT(O139,"" ""),1),{""jan."",1;""Feb"",2;""mar."",3;""Apr"",4;""May"",5;""jun."",6;""jul."",7;""Aug"",8;""sep"",9;""Oct"",10;""nov."",11;""Dec"",12},2,FALSE),
      INDEX(S"&amp;"PLIT(O139,"" ""),2)
    ),
    ""dd/mm/yyyy""
  ),
"""")"),"15/04/2026")</f>
        <v>15/04/2026</v>
      </c>
    </row>
    <row r="140">
      <c r="A140" s="85" t="s">
        <v>1342</v>
      </c>
      <c r="B140" s="85" t="s">
        <v>1343</v>
      </c>
      <c r="C140" s="86" t="s">
        <v>937</v>
      </c>
      <c r="D140" s="86" t="s">
        <v>388</v>
      </c>
      <c r="E140" s="87"/>
      <c r="F140" s="86" t="s">
        <v>863</v>
      </c>
      <c r="G140" s="86" t="s">
        <v>389</v>
      </c>
      <c r="H140" s="87"/>
      <c r="I140" s="87"/>
      <c r="J140" s="86" t="s">
        <v>389</v>
      </c>
      <c r="K140" s="86" t="s">
        <v>390</v>
      </c>
      <c r="L140" s="86" t="s">
        <v>391</v>
      </c>
      <c r="M140" s="86" t="s">
        <v>392</v>
      </c>
      <c r="N140" s="86" t="s">
        <v>1344</v>
      </c>
      <c r="O140" s="86" t="s">
        <v>1345</v>
      </c>
      <c r="P140" s="89" t="str">
        <f>IFERROR(__xludf.DUMMYFUNCTION("IFERROR(
  TEXT(
    DATE(
      INDEX(SPLIT(O140,"" ""),3),
      VLOOKUP(INDEX(SPLIT(O140,"" ""),1),{""jan."",1;""Feb"",2;""mar."",3;""Apr"",4;""May"",5;""jun."",6;""jul."",7;""Aug"",8;""sep"",9;""Oct"",10;""nov."",11;""Dec"",12},2,FALSE),
      INDEX(S"&amp;"PLIT(O140,"" ""),2)
    ),
    ""dd/mm/yyyy""
  ),
"""")"),"16/04/2026")</f>
        <v>16/04/2026</v>
      </c>
    </row>
    <row r="141">
      <c r="A141" s="85" t="s">
        <v>1346</v>
      </c>
      <c r="B141" s="85" t="s">
        <v>1347</v>
      </c>
      <c r="C141" s="90"/>
      <c r="D141" s="86" t="s">
        <v>388</v>
      </c>
      <c r="E141" s="87"/>
      <c r="F141" s="86" t="s">
        <v>1348</v>
      </c>
      <c r="G141" s="86" t="s">
        <v>389</v>
      </c>
      <c r="H141" s="87"/>
      <c r="I141" s="87"/>
      <c r="J141" s="86" t="s">
        <v>389</v>
      </c>
      <c r="K141" s="86" t="s">
        <v>390</v>
      </c>
      <c r="L141" s="86" t="s">
        <v>391</v>
      </c>
      <c r="M141" s="86" t="s">
        <v>392</v>
      </c>
      <c r="N141" s="86" t="s">
        <v>1349</v>
      </c>
      <c r="O141" s="86" t="s">
        <v>1350</v>
      </c>
      <c r="P141" s="89" t="str">
        <f>IFERROR(__xludf.DUMMYFUNCTION("IFERROR(
  TEXT(
    DATE(
      INDEX(SPLIT(O141,"" ""),3),
      VLOOKUP(INDEX(SPLIT(O141,"" ""),1),{""jan."",1;""Feb"",2;""mar."",3;""Apr"",4;""May"",5;""jun."",6;""jul."",7;""Aug"",8;""sep"",9;""Oct"",10;""nov."",11;""Dec"",12},2,FALSE),
      INDEX(S"&amp;"PLIT(O141,"" ""),2)
    ),
    ""dd/mm/yyyy""
  ),
"""")"),"30/04/2026")</f>
        <v>30/04/2026</v>
      </c>
    </row>
    <row r="142">
      <c r="A142" s="85" t="s">
        <v>1351</v>
      </c>
      <c r="B142" s="85" t="s">
        <v>1352</v>
      </c>
      <c r="C142" s="86" t="s">
        <v>937</v>
      </c>
      <c r="D142" s="86" t="s">
        <v>388</v>
      </c>
      <c r="E142" s="87"/>
      <c r="F142" s="86" t="s">
        <v>307</v>
      </c>
      <c r="G142" s="86" t="s">
        <v>389</v>
      </c>
      <c r="H142" s="87"/>
      <c r="I142" s="87"/>
      <c r="J142" s="86" t="s">
        <v>389</v>
      </c>
      <c r="K142" s="86" t="s">
        <v>390</v>
      </c>
      <c r="L142" s="86" t="s">
        <v>391</v>
      </c>
      <c r="M142" s="86" t="s">
        <v>1353</v>
      </c>
      <c r="N142" s="86" t="s">
        <v>1354</v>
      </c>
      <c r="O142" s="88">
        <v>46086.25555555556</v>
      </c>
      <c r="P142" s="89" t="str">
        <f>IFERROR(__xludf.DUMMYFUNCTION("IFERROR(
  TEXT(
    DATE(
      INDEX(SPLIT(O142,"" ""),3),
      VLOOKUP(INDEX(SPLIT(O142,"" ""),1),{""jan."",1;""Feb"",2;""mar."",3;""Apr"",4;""May"",5;""jun."",6;""jul."",7;""Aug"",8;""sep"",9;""Oct"",10;""nov."",11;""Dec"",12},2,FALSE),
      INDEX(S"&amp;"PLIT(O142,"" ""),2)
    ),
    ""dd/mm/yyyy""
  ),
"""")"),"05/03/2026")</f>
        <v>05/03/2026</v>
      </c>
    </row>
    <row r="143">
      <c r="A143" s="85" t="s">
        <v>1355</v>
      </c>
      <c r="B143" s="85" t="s">
        <v>1356</v>
      </c>
      <c r="C143" s="86" t="s">
        <v>937</v>
      </c>
      <c r="D143" s="86" t="s">
        <v>388</v>
      </c>
      <c r="E143" s="87"/>
      <c r="F143" s="86" t="s">
        <v>1033</v>
      </c>
      <c r="G143" s="86" t="s">
        <v>389</v>
      </c>
      <c r="H143" s="87"/>
      <c r="I143" s="87"/>
      <c r="J143" s="86" t="s">
        <v>389</v>
      </c>
      <c r="K143" s="86" t="s">
        <v>390</v>
      </c>
      <c r="L143" s="86" t="s">
        <v>391</v>
      </c>
      <c r="M143" s="86" t="s">
        <v>392</v>
      </c>
      <c r="N143" s="86" t="s">
        <v>1357</v>
      </c>
      <c r="O143" s="86" t="s">
        <v>1358</v>
      </c>
      <c r="P143" s="89" t="str">
        <f>IFERROR(__xludf.DUMMYFUNCTION("IFERROR(
  TEXT(
    DATE(
      INDEX(SPLIT(O143,"" ""),3),
      VLOOKUP(INDEX(SPLIT(O143,"" ""),1),{""jan."",1;""Feb"",2;""mar."",3;""Apr"",4;""May"",5;""jun."",6;""jul."",7;""Aug"",8;""sep"",9;""Oct"",10;""nov."",11;""Dec"",12},2,FALSE),
      INDEX(S"&amp;"PLIT(O143,"" ""),2)
    ),
    ""dd/mm/yyyy""
  ),
"""")"),"12/05/2026")</f>
        <v>12/05/2026</v>
      </c>
    </row>
    <row r="144">
      <c r="A144" s="85" t="s">
        <v>1359</v>
      </c>
      <c r="B144" s="85" t="s">
        <v>1360</v>
      </c>
      <c r="C144" s="86" t="s">
        <v>937</v>
      </c>
      <c r="D144" s="86" t="s">
        <v>388</v>
      </c>
      <c r="E144" s="87"/>
      <c r="F144" s="86" t="s">
        <v>136</v>
      </c>
      <c r="G144" s="86" t="s">
        <v>389</v>
      </c>
      <c r="H144" s="87"/>
      <c r="I144" s="87"/>
      <c r="J144" s="86" t="s">
        <v>389</v>
      </c>
      <c r="K144" s="86" t="s">
        <v>390</v>
      </c>
      <c r="L144" s="86" t="s">
        <v>391</v>
      </c>
      <c r="M144" s="86" t="s">
        <v>392</v>
      </c>
      <c r="N144" s="86" t="s">
        <v>1361</v>
      </c>
      <c r="O144" s="86" t="s">
        <v>1174</v>
      </c>
      <c r="P144" s="89" t="str">
        <f>IFERROR(__xludf.DUMMYFUNCTION("IFERROR(
  TEXT(
    DATE(
      INDEX(SPLIT(O144,"" ""),3),
      VLOOKUP(INDEX(SPLIT(O144,"" ""),1),{""jan."",1;""Feb"",2;""mar."",3;""Apr"",4;""May"",5;""jun."",6;""jul."",7;""Aug"",8;""sep"",9;""Oct"",10;""nov."",11;""Dec"",12},2,FALSE),
      INDEX(S"&amp;"PLIT(O144,"" ""),2)
    ),
    ""dd/mm/yyyy""
  ),
"""")"),"08/12/2025")</f>
        <v>08/12/2025</v>
      </c>
    </row>
    <row r="145">
      <c r="A145" s="85" t="s">
        <v>1362</v>
      </c>
      <c r="B145" s="85" t="s">
        <v>1363</v>
      </c>
      <c r="C145" s="86" t="s">
        <v>937</v>
      </c>
      <c r="D145" s="86" t="s">
        <v>388</v>
      </c>
      <c r="E145" s="87"/>
      <c r="F145" s="86" t="s">
        <v>176</v>
      </c>
      <c r="G145" s="86" t="s">
        <v>389</v>
      </c>
      <c r="H145" s="87"/>
      <c r="I145" s="87"/>
      <c r="J145" s="86" t="s">
        <v>389</v>
      </c>
      <c r="K145" s="86" t="s">
        <v>390</v>
      </c>
      <c r="L145" s="86" t="s">
        <v>391</v>
      </c>
      <c r="M145" s="86" t="s">
        <v>392</v>
      </c>
      <c r="N145" s="86" t="s">
        <v>1364</v>
      </c>
      <c r="O145" s="86" t="s">
        <v>1365</v>
      </c>
      <c r="P145" s="89" t="str">
        <f>IFERROR(__xludf.DUMMYFUNCTION("IFERROR(
  TEXT(
    DATE(
      INDEX(SPLIT(O145,"" ""),3),
      VLOOKUP(INDEX(SPLIT(O145,"" ""),1),{""jan."",1;""Feb"",2;""mar."",3;""Apr"",4;""May"",5;""jun."",6;""jul."",7;""Aug"",8;""sep"",9;""Oct"",10;""nov."",11;""Dec"",12},2,FALSE),
      INDEX(S"&amp;"PLIT(O145,"" ""),2)
    ),
    ""dd/mm/yyyy""
  ),
"""")"),"27/04/2026")</f>
        <v>27/04/2026</v>
      </c>
    </row>
    <row r="146">
      <c r="A146" s="85" t="s">
        <v>1366</v>
      </c>
      <c r="B146" s="85" t="s">
        <v>1367</v>
      </c>
      <c r="C146" s="86" t="s">
        <v>937</v>
      </c>
      <c r="D146" s="86" t="s">
        <v>388</v>
      </c>
      <c r="E146" s="87"/>
      <c r="F146" s="86" t="s">
        <v>117</v>
      </c>
      <c r="G146" s="86" t="s">
        <v>389</v>
      </c>
      <c r="H146" s="87"/>
      <c r="I146" s="87"/>
      <c r="J146" s="86" t="s">
        <v>389</v>
      </c>
      <c r="K146" s="86" t="s">
        <v>390</v>
      </c>
      <c r="L146" s="86" t="s">
        <v>391</v>
      </c>
      <c r="M146" s="86" t="s">
        <v>392</v>
      </c>
      <c r="N146" s="86" t="s">
        <v>1368</v>
      </c>
      <c r="O146" s="86" t="s">
        <v>1369</v>
      </c>
      <c r="P146" s="89" t="str">
        <f>IFERROR(__xludf.DUMMYFUNCTION("IFERROR(
  TEXT(
    DATE(
      INDEX(SPLIT(O146,"" ""),3),
      VLOOKUP(INDEX(SPLIT(O146,"" ""),1),{""jan."",1;""Feb"",2;""mar."",3;""Apr"",4;""May"",5;""jun."",6;""jul."",7;""Aug"",8;""sep"",9;""Oct"",10;""nov."",11;""Dec"",12},2,FALSE),
      INDEX(S"&amp;"PLIT(O146,"" ""),2)
    ),
    ""dd/mm/yyyy""
  ),
"""")"),"03/02/2026")</f>
        <v>03/02/2026</v>
      </c>
    </row>
    <row r="147">
      <c r="A147" s="85" t="s">
        <v>1370</v>
      </c>
      <c r="B147" s="85" t="s">
        <v>1371</v>
      </c>
      <c r="C147" s="86" t="s">
        <v>387</v>
      </c>
      <c r="D147" s="86" t="s">
        <v>388</v>
      </c>
      <c r="E147" s="87"/>
      <c r="F147" s="86" t="s">
        <v>189</v>
      </c>
      <c r="G147" s="86" t="s">
        <v>389</v>
      </c>
      <c r="H147" s="87"/>
      <c r="I147" s="87"/>
      <c r="J147" s="86" t="s">
        <v>389</v>
      </c>
      <c r="K147" s="86" t="s">
        <v>390</v>
      </c>
      <c r="L147" s="86" t="s">
        <v>391</v>
      </c>
      <c r="M147" s="86" t="s">
        <v>392</v>
      </c>
      <c r="N147" s="86" t="s">
        <v>1372</v>
      </c>
      <c r="O147" s="86" t="s">
        <v>1373</v>
      </c>
      <c r="P147" s="89" t="str">
        <f>IFERROR(__xludf.DUMMYFUNCTION("IFERROR(
  TEXT(
    DATE(
      INDEX(SPLIT(O147,"" ""),3),
      VLOOKUP(INDEX(SPLIT(O147,"" ""),1),{""jan."",1;""Feb"",2;""mar."",3;""Apr"",4;""May"",5;""jun."",6;""jul."",7;""Aug"",8;""sep"",9;""Oct"",10;""nov."",11;""Dec"",12},2,FALSE),
      INDEX(S"&amp;"PLIT(O147,"" ""),2)
    ),
    ""dd/mm/yyyy""
  ),
"""")"),"15/05/2026")</f>
        <v>15/05/2026</v>
      </c>
    </row>
    <row r="148">
      <c r="A148" s="85" t="s">
        <v>1374</v>
      </c>
      <c r="B148" s="85" t="s">
        <v>1375</v>
      </c>
      <c r="C148" s="86" t="s">
        <v>937</v>
      </c>
      <c r="D148" s="86" t="s">
        <v>388</v>
      </c>
      <c r="E148" s="87"/>
      <c r="F148" s="86" t="s">
        <v>117</v>
      </c>
      <c r="G148" s="86" t="s">
        <v>389</v>
      </c>
      <c r="H148" s="87"/>
      <c r="I148" s="87"/>
      <c r="J148" s="86" t="s">
        <v>389</v>
      </c>
      <c r="K148" s="86" t="s">
        <v>390</v>
      </c>
      <c r="L148" s="86" t="s">
        <v>391</v>
      </c>
      <c r="M148" s="86" t="s">
        <v>392</v>
      </c>
      <c r="N148" s="86" t="s">
        <v>953</v>
      </c>
      <c r="O148" s="86" t="s">
        <v>1376</v>
      </c>
      <c r="P148" s="89" t="str">
        <f>IFERROR(__xludf.DUMMYFUNCTION("IFERROR(
  TEXT(
    DATE(
      INDEX(SPLIT(O148,"" ""),3),
      VLOOKUP(INDEX(SPLIT(O148,"" ""),1),{""jan."",1;""Feb"",2;""mar."",3;""Apr"",4;""May"",5;""jun."",6;""jul."",7;""Aug"",8;""sep"",9;""Oct"",10;""nov."",11;""Dec"",12},2,FALSE),
      INDEX(S"&amp;"PLIT(O148,"" ""),2)
    ),
    ""dd/mm/yyyy""
  ),
"""")"),"08/05/2026")</f>
        <v>08/05/2026</v>
      </c>
    </row>
    <row r="149">
      <c r="A149" s="85" t="s">
        <v>1377</v>
      </c>
      <c r="B149" s="85" t="s">
        <v>1378</v>
      </c>
      <c r="C149" s="86" t="s">
        <v>937</v>
      </c>
      <c r="D149" s="86" t="s">
        <v>388</v>
      </c>
      <c r="E149" s="87"/>
      <c r="F149" s="86" t="s">
        <v>180</v>
      </c>
      <c r="G149" s="86" t="s">
        <v>389</v>
      </c>
      <c r="H149" s="87"/>
      <c r="I149" s="87"/>
      <c r="J149" s="86" t="s">
        <v>389</v>
      </c>
      <c r="K149" s="86" t="s">
        <v>390</v>
      </c>
      <c r="L149" s="86" t="s">
        <v>391</v>
      </c>
      <c r="M149" s="86" t="s">
        <v>392</v>
      </c>
      <c r="N149" s="86" t="s">
        <v>1379</v>
      </c>
      <c r="O149" s="86" t="s">
        <v>1380</v>
      </c>
      <c r="P149" s="89" t="str">
        <f>IFERROR(__xludf.DUMMYFUNCTION("IFERROR(
  TEXT(
    DATE(
      INDEX(SPLIT(O149,"" ""),3),
      VLOOKUP(INDEX(SPLIT(O149,"" ""),1),{""jan."",1;""Feb"",2;""mar."",3;""Apr"",4;""May"",5;""jun."",6;""jul."",7;""Aug"",8;""sep"",9;""Oct"",10;""nov."",11;""Dec"",12},2,FALSE),
      INDEX(S"&amp;"PLIT(O149,"" ""),2)
    ),
    ""dd/mm/yyyy""
  ),
"""")"),"14/05/2026")</f>
        <v>14/05/2026</v>
      </c>
    </row>
    <row r="150">
      <c r="A150" s="85" t="s">
        <v>1381</v>
      </c>
      <c r="B150" s="85" t="s">
        <v>1382</v>
      </c>
      <c r="C150" s="86" t="s">
        <v>937</v>
      </c>
      <c r="D150" s="86" t="s">
        <v>388</v>
      </c>
      <c r="E150" s="87"/>
      <c r="F150" s="86" t="s">
        <v>1037</v>
      </c>
      <c r="G150" s="86" t="s">
        <v>389</v>
      </c>
      <c r="H150" s="87"/>
      <c r="I150" s="87"/>
      <c r="J150" s="86" t="s">
        <v>389</v>
      </c>
      <c r="K150" s="86" t="s">
        <v>390</v>
      </c>
      <c r="L150" s="86" t="s">
        <v>391</v>
      </c>
      <c r="M150" s="86" t="s">
        <v>392</v>
      </c>
      <c r="N150" s="86" t="s">
        <v>1383</v>
      </c>
      <c r="O150" s="86" t="s">
        <v>1384</v>
      </c>
      <c r="P150" s="89" t="str">
        <f>IFERROR(__xludf.DUMMYFUNCTION("IFERROR(
  TEXT(
    DATE(
      INDEX(SPLIT(O150,"" ""),3),
      VLOOKUP(INDEX(SPLIT(O150,"" ""),1),{""jan."",1;""Feb"",2;""mar."",3;""Apr"",4;""May"",5;""jun."",6;""jul."",7;""Aug"",8;""sep"",9;""Oct"",10;""nov."",11;""Dec"",12},2,FALSE),
      INDEX(S"&amp;"PLIT(O150,"" ""),2)
    ),
    ""dd/mm/yyyy""
  ),
"""")"),"14/05/2026")</f>
        <v>14/05/2026</v>
      </c>
    </row>
    <row r="151">
      <c r="A151" s="85" t="s">
        <v>1385</v>
      </c>
      <c r="B151" s="85" t="s">
        <v>1386</v>
      </c>
      <c r="C151" s="86" t="s">
        <v>937</v>
      </c>
      <c r="D151" s="86" t="s">
        <v>388</v>
      </c>
      <c r="E151" s="87"/>
      <c r="F151" s="86" t="s">
        <v>1037</v>
      </c>
      <c r="G151" s="86" t="s">
        <v>389</v>
      </c>
      <c r="H151" s="87"/>
      <c r="I151" s="87"/>
      <c r="J151" s="86" t="s">
        <v>389</v>
      </c>
      <c r="K151" s="86" t="s">
        <v>390</v>
      </c>
      <c r="L151" s="86" t="s">
        <v>391</v>
      </c>
      <c r="M151" s="86" t="s">
        <v>392</v>
      </c>
      <c r="N151" s="86" t="s">
        <v>980</v>
      </c>
      <c r="O151" s="88">
        <v>46087.711805555555</v>
      </c>
      <c r="P151" s="89" t="str">
        <f>IFERROR(__xludf.DUMMYFUNCTION("IFERROR(
  TEXT(
    DATE(
      INDEX(SPLIT(O151,"" ""),3),
      VLOOKUP(INDEX(SPLIT(O151,"" ""),1),{""jan."",1;""Feb"",2;""mar."",3;""Apr"",4;""May"",5;""jun."",6;""jul."",7;""Aug"",8;""sep"",9;""Oct"",10;""nov."",11;""Dec"",12},2,FALSE),
      INDEX(S"&amp;"PLIT(O151,"" ""),2)
    ),
    ""dd/mm/yyyy""
  ),
"""")"),"06/03/2026")</f>
        <v>06/03/2026</v>
      </c>
    </row>
    <row r="152">
      <c r="A152" s="85" t="s">
        <v>1387</v>
      </c>
      <c r="B152" s="85" t="s">
        <v>1388</v>
      </c>
      <c r="C152" s="86" t="s">
        <v>937</v>
      </c>
      <c r="D152" s="86" t="s">
        <v>388</v>
      </c>
      <c r="E152" s="87"/>
      <c r="F152" s="86" t="s">
        <v>292</v>
      </c>
      <c r="G152" s="86" t="s">
        <v>389</v>
      </c>
      <c r="H152" s="87"/>
      <c r="I152" s="87"/>
      <c r="J152" s="86" t="s">
        <v>389</v>
      </c>
      <c r="K152" s="86" t="s">
        <v>390</v>
      </c>
      <c r="L152" s="86" t="s">
        <v>391</v>
      </c>
      <c r="M152" s="86" t="s">
        <v>392</v>
      </c>
      <c r="N152" s="86" t="s">
        <v>1389</v>
      </c>
      <c r="O152" s="88">
        <v>46084.36944444444</v>
      </c>
      <c r="P152" s="89" t="str">
        <f>IFERROR(__xludf.DUMMYFUNCTION("IFERROR(
  TEXT(
    DATE(
      INDEX(SPLIT(O152,"" ""),3),
      VLOOKUP(INDEX(SPLIT(O152,"" ""),1),{""jan."",1;""Feb"",2;""mar."",3;""Apr"",4;""May"",5;""jun."",6;""jul."",7;""Aug"",8;""sep"",9;""Oct"",10;""nov."",11;""Dec"",12},2,FALSE),
      INDEX(S"&amp;"PLIT(O152,"" ""),2)
    ),
    ""dd/mm/yyyy""
  ),
"""")"),"03/03/2026")</f>
        <v>03/03/2026</v>
      </c>
    </row>
    <row r="153">
      <c r="A153" s="85" t="s">
        <v>1390</v>
      </c>
      <c r="B153" s="85" t="s">
        <v>1391</v>
      </c>
      <c r="C153" s="86" t="s">
        <v>937</v>
      </c>
      <c r="D153" s="86" t="s">
        <v>388</v>
      </c>
      <c r="E153" s="87"/>
      <c r="F153" s="86" t="s">
        <v>1018</v>
      </c>
      <c r="G153" s="86" t="s">
        <v>389</v>
      </c>
      <c r="H153" s="87"/>
      <c r="I153" s="87"/>
      <c r="J153" s="86" t="s">
        <v>389</v>
      </c>
      <c r="K153" s="86" t="s">
        <v>390</v>
      </c>
      <c r="L153" s="86" t="s">
        <v>391</v>
      </c>
      <c r="M153" s="86" t="s">
        <v>392</v>
      </c>
      <c r="N153" s="86" t="s">
        <v>537</v>
      </c>
      <c r="O153" s="88">
        <v>46105.819444444445</v>
      </c>
      <c r="P153" s="89" t="str">
        <f>IFERROR(__xludf.DUMMYFUNCTION("IFERROR(
  TEXT(
    DATE(
      INDEX(SPLIT(O153,"" ""),3),
      VLOOKUP(INDEX(SPLIT(O153,"" ""),1),{""jan."",1;""Feb"",2;""mar."",3;""Apr"",4;""May"",5;""jun."",6;""jul."",7;""Aug"",8;""sep"",9;""Oct"",10;""nov."",11;""Dec"",12},2,FALSE),
      INDEX(S"&amp;"PLIT(O153,"" ""),2)
    ),
    ""dd/mm/yyyy""
  ),
"""")"),"24/03/2026")</f>
        <v>24/03/2026</v>
      </c>
    </row>
    <row r="154">
      <c r="A154" s="85" t="s">
        <v>1392</v>
      </c>
      <c r="B154" s="85" t="s">
        <v>1393</v>
      </c>
      <c r="C154" s="86" t="s">
        <v>937</v>
      </c>
      <c r="D154" s="86" t="s">
        <v>388</v>
      </c>
      <c r="E154" s="87"/>
      <c r="F154" s="86" t="s">
        <v>226</v>
      </c>
      <c r="G154" s="86" t="s">
        <v>389</v>
      </c>
      <c r="H154" s="87"/>
      <c r="I154" s="87"/>
      <c r="J154" s="86" t="s">
        <v>389</v>
      </c>
      <c r="K154" s="86" t="s">
        <v>390</v>
      </c>
      <c r="L154" s="86" t="s">
        <v>391</v>
      </c>
      <c r="M154" s="86" t="s">
        <v>392</v>
      </c>
      <c r="N154" s="86" t="s">
        <v>1394</v>
      </c>
      <c r="O154" s="86" t="s">
        <v>1395</v>
      </c>
      <c r="P154" s="89" t="str">
        <f>IFERROR(__xludf.DUMMYFUNCTION("IFERROR(
  TEXT(
    DATE(
      INDEX(SPLIT(O154,"" ""),3),
      VLOOKUP(INDEX(SPLIT(O154,"" ""),1),{""jan."",1;""Feb"",2;""mar."",3;""Apr"",4;""May"",5;""jun."",6;""jul."",7;""Aug"",8;""sep"",9;""Oct"",10;""nov."",11;""Dec"",12},2,FALSE),
      INDEX(S"&amp;"PLIT(O154,"" ""),2)
    ),
    ""dd/mm/yyyy""
  ),
"""")"),"08/04/2026")</f>
        <v>08/04/2026</v>
      </c>
    </row>
    <row r="155">
      <c r="A155" s="85" t="s">
        <v>1396</v>
      </c>
      <c r="B155" s="85" t="s">
        <v>1397</v>
      </c>
      <c r="C155" s="86" t="s">
        <v>937</v>
      </c>
      <c r="D155" s="86" t="s">
        <v>388</v>
      </c>
      <c r="E155" s="87"/>
      <c r="F155" s="86" t="s">
        <v>1210</v>
      </c>
      <c r="G155" s="86" t="s">
        <v>389</v>
      </c>
      <c r="H155" s="87"/>
      <c r="I155" s="87"/>
      <c r="J155" s="86" t="s">
        <v>389</v>
      </c>
      <c r="K155" s="86" t="s">
        <v>390</v>
      </c>
      <c r="L155" s="86" t="s">
        <v>391</v>
      </c>
      <c r="M155" s="86" t="s">
        <v>392</v>
      </c>
      <c r="N155" s="86" t="s">
        <v>1398</v>
      </c>
      <c r="O155" s="86" t="s">
        <v>1399</v>
      </c>
      <c r="P155" s="89" t="str">
        <f>IFERROR(__xludf.DUMMYFUNCTION("IFERROR(
  TEXT(
    DATE(
      INDEX(SPLIT(O155,"" ""),3),
      VLOOKUP(INDEX(SPLIT(O155,"" ""),1),{""jan."",1;""Feb"",2;""mar."",3;""Apr"",4;""May"",5;""jun."",6;""jul."",7;""Aug"",8;""sep"",9;""Oct"",10;""nov."",11;""Dec"",12},2,FALSE),
      INDEX(S"&amp;"PLIT(O155,"" ""),2)
    ),
    ""dd/mm/yyyy""
  ),
"""")"),"08/05/2026")</f>
        <v>08/05/2026</v>
      </c>
    </row>
    <row r="156">
      <c r="A156" s="85" t="s">
        <v>1400</v>
      </c>
      <c r="B156" s="85" t="s">
        <v>1401</v>
      </c>
      <c r="C156" s="86" t="s">
        <v>937</v>
      </c>
      <c r="D156" s="86" t="s">
        <v>388</v>
      </c>
      <c r="E156" s="87"/>
      <c r="F156" s="86" t="s">
        <v>141</v>
      </c>
      <c r="G156" s="86" t="s">
        <v>389</v>
      </c>
      <c r="H156" s="87"/>
      <c r="I156" s="87"/>
      <c r="J156" s="86" t="s">
        <v>389</v>
      </c>
      <c r="K156" s="86" t="s">
        <v>390</v>
      </c>
      <c r="L156" s="86" t="s">
        <v>391</v>
      </c>
      <c r="M156" s="86" t="s">
        <v>392</v>
      </c>
      <c r="N156" s="86" t="s">
        <v>1402</v>
      </c>
      <c r="O156" s="86" t="s">
        <v>1214</v>
      </c>
      <c r="P156" s="89" t="str">
        <f>IFERROR(__xludf.DUMMYFUNCTION("IFERROR(
  TEXT(
    DATE(
      INDEX(SPLIT(O156,"" ""),3),
      VLOOKUP(INDEX(SPLIT(O156,"" ""),1),{""jan."",1;""Feb"",2;""mar."",3;""Apr"",4;""May"",5;""jun."",6;""jul."",7;""Aug"",8;""sep"",9;""Oct"",10;""nov."",11;""Dec"",12},2,FALSE),
      INDEX(S"&amp;"PLIT(O156,"" ""),2)
    ),
    ""dd/mm/yyyy""
  ),
"""")"),"13/05/2026")</f>
        <v>13/05/2026</v>
      </c>
    </row>
    <row r="157">
      <c r="A157" s="85" t="s">
        <v>1403</v>
      </c>
      <c r="B157" s="85" t="s">
        <v>1404</v>
      </c>
      <c r="C157" s="86" t="s">
        <v>937</v>
      </c>
      <c r="D157" s="86" t="s">
        <v>388</v>
      </c>
      <c r="E157" s="87"/>
      <c r="F157" s="86" t="s">
        <v>288</v>
      </c>
      <c r="G157" s="86" t="s">
        <v>389</v>
      </c>
      <c r="H157" s="87"/>
      <c r="I157" s="87"/>
      <c r="J157" s="86" t="s">
        <v>389</v>
      </c>
      <c r="K157" s="86" t="s">
        <v>390</v>
      </c>
      <c r="L157" s="86" t="s">
        <v>391</v>
      </c>
      <c r="M157" s="86" t="s">
        <v>392</v>
      </c>
      <c r="N157" s="86" t="s">
        <v>1405</v>
      </c>
      <c r="O157" s="86" t="s">
        <v>1406</v>
      </c>
      <c r="P157" s="89" t="str">
        <f>IFERROR(__xludf.DUMMYFUNCTION("IFERROR(
  TEXT(
    DATE(
      INDEX(SPLIT(O157,"" ""),3),
      VLOOKUP(INDEX(SPLIT(O157,"" ""),1),{""jan."",1;""Feb"",2;""mar."",3;""Apr"",4;""May"",5;""jun."",6;""jul."",7;""Aug"",8;""sep"",9;""Oct"",10;""nov."",11;""Dec"",12},2,FALSE),
      INDEX(S"&amp;"PLIT(O157,"" ""),2)
    ),
    ""dd/mm/yyyy""
  ),
"""")"),"06/05/2026")</f>
        <v>06/05/2026</v>
      </c>
    </row>
    <row r="158">
      <c r="A158" s="85" t="s">
        <v>1407</v>
      </c>
      <c r="B158" s="85" t="s">
        <v>1408</v>
      </c>
      <c r="C158" s="86" t="s">
        <v>937</v>
      </c>
      <c r="D158" s="86" t="s">
        <v>388</v>
      </c>
      <c r="E158" s="87"/>
      <c r="F158" s="86" t="s">
        <v>1409</v>
      </c>
      <c r="G158" s="86" t="s">
        <v>389</v>
      </c>
      <c r="H158" s="87"/>
      <c r="I158" s="87"/>
      <c r="J158" s="86" t="s">
        <v>389</v>
      </c>
      <c r="K158" s="86" t="s">
        <v>390</v>
      </c>
      <c r="L158" s="86" t="s">
        <v>391</v>
      </c>
      <c r="M158" s="86" t="s">
        <v>392</v>
      </c>
      <c r="N158" s="86" t="s">
        <v>1410</v>
      </c>
      <c r="O158" s="86" t="s">
        <v>1411</v>
      </c>
      <c r="P158" s="89" t="str">
        <f>IFERROR(__xludf.DUMMYFUNCTION("IFERROR(
  TEXT(
    DATE(
      INDEX(SPLIT(O158,"" ""),3),
      VLOOKUP(INDEX(SPLIT(O158,"" ""),1),{""jan."",1;""Feb"",2;""mar."",3;""Apr"",4;""May"",5;""jun."",6;""jul."",7;""Aug"",8;""sep"",9;""Oct"",10;""nov."",11;""Dec"",12},2,FALSE),
      INDEX(S"&amp;"PLIT(O158,"" ""),2)
    ),
    ""dd/mm/yyyy""
  ),
"""")"),"10/04/2026")</f>
        <v>10/04/2026</v>
      </c>
    </row>
    <row r="159">
      <c r="A159" s="85" t="s">
        <v>1412</v>
      </c>
      <c r="B159" s="85" t="s">
        <v>1413</v>
      </c>
      <c r="C159" s="90"/>
      <c r="D159" s="90"/>
      <c r="E159" s="87"/>
      <c r="F159" s="86" t="s">
        <v>103</v>
      </c>
      <c r="G159" s="86" t="s">
        <v>389</v>
      </c>
      <c r="H159" s="87"/>
      <c r="I159" s="87"/>
      <c r="J159" s="86" t="s">
        <v>389</v>
      </c>
      <c r="K159" s="86" t="s">
        <v>390</v>
      </c>
      <c r="L159" s="86" t="s">
        <v>391</v>
      </c>
      <c r="M159" s="86" t="s">
        <v>392</v>
      </c>
      <c r="N159" s="86" t="s">
        <v>641</v>
      </c>
      <c r="O159" s="86" t="s">
        <v>1414</v>
      </c>
      <c r="P159" s="89" t="str">
        <f>IFERROR(__xludf.DUMMYFUNCTION("IFERROR(
  TEXT(
    DATE(
      INDEX(SPLIT(O159,"" ""),3),
      VLOOKUP(INDEX(SPLIT(O159,"" ""),1),{""jan."",1;""Feb"",2;""mar."",3;""Apr"",4;""May"",5;""jun."",6;""jul."",7;""Aug"",8;""sep"",9;""Oct"",10;""nov."",11;""Dec"",12},2,FALSE),
      INDEX(S"&amp;"PLIT(O159,"" ""),2)
    ),
    ""dd/mm/yyyy""
  ),
"""")"),"07/05/2026")</f>
        <v>07/05/2026</v>
      </c>
    </row>
    <row r="160">
      <c r="A160" s="85" t="s">
        <v>1415</v>
      </c>
      <c r="B160" s="85" t="s">
        <v>1416</v>
      </c>
      <c r="C160" s="86" t="s">
        <v>387</v>
      </c>
      <c r="D160" s="86" t="s">
        <v>388</v>
      </c>
      <c r="E160" s="87"/>
      <c r="F160" s="86" t="s">
        <v>103</v>
      </c>
      <c r="G160" s="86" t="s">
        <v>389</v>
      </c>
      <c r="H160" s="87"/>
      <c r="I160" s="87"/>
      <c r="J160" s="86" t="s">
        <v>389</v>
      </c>
      <c r="K160" s="86" t="s">
        <v>390</v>
      </c>
      <c r="L160" s="86" t="s">
        <v>391</v>
      </c>
      <c r="M160" s="86" t="s">
        <v>392</v>
      </c>
      <c r="N160" s="86" t="s">
        <v>1417</v>
      </c>
      <c r="O160" s="86" t="s">
        <v>1414</v>
      </c>
      <c r="P160" s="89" t="str">
        <f>IFERROR(__xludf.DUMMYFUNCTION("IFERROR(
  TEXT(
    DATE(
      INDEX(SPLIT(O160,"" ""),3),
      VLOOKUP(INDEX(SPLIT(O160,"" ""),1),{""jan."",1;""Feb"",2;""mar."",3;""Apr"",4;""May"",5;""jun."",6;""jul."",7;""Aug"",8;""sep"",9;""Oct"",10;""nov."",11;""Dec"",12},2,FALSE),
      INDEX(S"&amp;"PLIT(O160,"" ""),2)
    ),
    ""dd/mm/yyyy""
  ),
"""")"),"07/05/2026")</f>
        <v>07/05/2026</v>
      </c>
    </row>
    <row r="161">
      <c r="A161" s="85" t="s">
        <v>1418</v>
      </c>
      <c r="B161" s="85" t="s">
        <v>1419</v>
      </c>
      <c r="C161" s="86" t="s">
        <v>937</v>
      </c>
      <c r="D161" s="86" t="s">
        <v>388</v>
      </c>
      <c r="E161" s="87"/>
      <c r="F161" s="86" t="s">
        <v>1135</v>
      </c>
      <c r="G161" s="86" t="s">
        <v>389</v>
      </c>
      <c r="H161" s="87"/>
      <c r="I161" s="87"/>
      <c r="J161" s="86" t="s">
        <v>389</v>
      </c>
      <c r="K161" s="86" t="s">
        <v>390</v>
      </c>
      <c r="L161" s="86" t="s">
        <v>391</v>
      </c>
      <c r="M161" s="86" t="s">
        <v>392</v>
      </c>
      <c r="N161" s="86" t="s">
        <v>1420</v>
      </c>
      <c r="O161" s="88">
        <v>46100.67222222222</v>
      </c>
      <c r="P161" s="89" t="str">
        <f>IFERROR(__xludf.DUMMYFUNCTION("IFERROR(
  TEXT(
    DATE(
      INDEX(SPLIT(O161,"" ""),3),
      VLOOKUP(INDEX(SPLIT(O161,"" ""),1),{""jan."",1;""Feb"",2;""mar."",3;""Apr"",4;""May"",5;""jun."",6;""jul."",7;""Aug"",8;""sep"",9;""Oct"",10;""nov."",11;""Dec"",12},2,FALSE),
      INDEX(S"&amp;"PLIT(O161,"" ""),2)
    ),
    ""dd/mm/yyyy""
  ),
"""")"),"19/03/2026")</f>
        <v>19/03/2026</v>
      </c>
    </row>
    <row r="162">
      <c r="A162" s="85" t="s">
        <v>1421</v>
      </c>
      <c r="B162" s="85" t="s">
        <v>1422</v>
      </c>
      <c r="C162" s="86" t="s">
        <v>937</v>
      </c>
      <c r="D162" s="86" t="s">
        <v>388</v>
      </c>
      <c r="E162" s="87"/>
      <c r="F162" s="86" t="s">
        <v>196</v>
      </c>
      <c r="G162" s="86" t="s">
        <v>389</v>
      </c>
      <c r="H162" s="87"/>
      <c r="I162" s="87"/>
      <c r="J162" s="86" t="s">
        <v>389</v>
      </c>
      <c r="K162" s="86" t="s">
        <v>390</v>
      </c>
      <c r="L162" s="86" t="s">
        <v>391</v>
      </c>
      <c r="M162" s="86" t="s">
        <v>392</v>
      </c>
      <c r="N162" s="86" t="s">
        <v>1423</v>
      </c>
      <c r="O162" s="86" t="s">
        <v>1233</v>
      </c>
      <c r="P162" s="89" t="str">
        <f>IFERROR(__xludf.DUMMYFUNCTION("IFERROR(
  TEXT(
    DATE(
      INDEX(SPLIT(O162,"" ""),3),
      VLOOKUP(INDEX(SPLIT(O162,"" ""),1),{""jan."",1;""Feb"",2;""mar."",3;""Apr"",4;""May"",5;""jun."",6;""jul."",7;""Aug"",8;""sep"",9;""Oct"",10;""nov."",11;""Dec"",12},2,FALSE),
      INDEX(S"&amp;"PLIT(O162,"" ""),2)
    ),
    ""dd/mm/yyyy""
  ),
"""")"),"05/05/2026")</f>
        <v>05/05/2026</v>
      </c>
    </row>
    <row r="163">
      <c r="A163" s="85" t="s">
        <v>1424</v>
      </c>
      <c r="B163" s="85" t="s">
        <v>1425</v>
      </c>
      <c r="C163" s="86" t="s">
        <v>937</v>
      </c>
      <c r="D163" s="86" t="s">
        <v>388</v>
      </c>
      <c r="E163" s="87"/>
      <c r="F163" s="86" t="s">
        <v>288</v>
      </c>
      <c r="G163" s="86" t="s">
        <v>389</v>
      </c>
      <c r="H163" s="87"/>
      <c r="I163" s="87"/>
      <c r="J163" s="86" t="s">
        <v>389</v>
      </c>
      <c r="K163" s="86" t="s">
        <v>390</v>
      </c>
      <c r="L163" s="86" t="s">
        <v>391</v>
      </c>
      <c r="M163" s="86" t="s">
        <v>392</v>
      </c>
      <c r="N163" s="86" t="s">
        <v>1012</v>
      </c>
      <c r="O163" s="86" t="s">
        <v>1426</v>
      </c>
      <c r="P163" s="89" t="str">
        <f>IFERROR(__xludf.DUMMYFUNCTION("IFERROR(
  TEXT(
    DATE(
      INDEX(SPLIT(O163,"" ""),3),
      VLOOKUP(INDEX(SPLIT(O163,"" ""),1),{""jan."",1;""Feb"",2;""mar."",3;""Apr"",4;""May"",5;""jun."",6;""jul."",7;""Aug"",8;""sep"",9;""Oct"",10;""nov."",11;""Dec"",12},2,FALSE),
      INDEX(S"&amp;"PLIT(O163,"" ""),2)
    ),
    ""dd/mm/yyyy""
  ),
"""")"),"10/04/2026")</f>
        <v>10/04/2026</v>
      </c>
    </row>
    <row r="164">
      <c r="A164" s="85" t="s">
        <v>1427</v>
      </c>
      <c r="B164" s="85" t="s">
        <v>1428</v>
      </c>
      <c r="C164" s="86" t="s">
        <v>937</v>
      </c>
      <c r="D164" s="86" t="s">
        <v>388</v>
      </c>
      <c r="E164" s="87"/>
      <c r="F164" s="86" t="s">
        <v>1135</v>
      </c>
      <c r="G164" s="86" t="s">
        <v>389</v>
      </c>
      <c r="H164" s="87"/>
      <c r="I164" s="87"/>
      <c r="J164" s="86" t="s">
        <v>389</v>
      </c>
      <c r="K164" s="86" t="s">
        <v>390</v>
      </c>
      <c r="L164" s="86" t="s">
        <v>391</v>
      </c>
      <c r="M164" s="86" t="s">
        <v>392</v>
      </c>
      <c r="N164" s="86" t="s">
        <v>1429</v>
      </c>
      <c r="O164" s="86" t="s">
        <v>1430</v>
      </c>
      <c r="P164" s="89" t="str">
        <f>IFERROR(__xludf.DUMMYFUNCTION("IFERROR(
  TEXT(
    DATE(
      INDEX(SPLIT(O164,"" ""),3),
      VLOOKUP(INDEX(SPLIT(O164,"" ""),1),{""jan."",1;""Feb"",2;""mar."",3;""Apr"",4;""May"",5;""jun."",6;""jul."",7;""Aug"",8;""sep"",9;""Oct"",10;""nov."",11;""Dec"",12},2,FALSE),
      INDEX(S"&amp;"PLIT(O164,"" ""),2)
    ),
    ""dd/mm/yyyy""
  ),
"""")"),"12/05/2026")</f>
        <v>12/05/2026</v>
      </c>
    </row>
    <row r="165">
      <c r="A165" s="85" t="s">
        <v>1431</v>
      </c>
      <c r="B165" s="85" t="s">
        <v>1432</v>
      </c>
      <c r="C165" s="86" t="s">
        <v>937</v>
      </c>
      <c r="D165" s="86" t="s">
        <v>388</v>
      </c>
      <c r="E165" s="87"/>
      <c r="F165" s="86" t="s">
        <v>200</v>
      </c>
      <c r="G165" s="86" t="s">
        <v>389</v>
      </c>
      <c r="H165" s="87"/>
      <c r="I165" s="87"/>
      <c r="J165" s="86" t="s">
        <v>389</v>
      </c>
      <c r="K165" s="86" t="s">
        <v>390</v>
      </c>
      <c r="L165" s="86" t="s">
        <v>391</v>
      </c>
      <c r="M165" s="86" t="s">
        <v>392</v>
      </c>
      <c r="N165" s="86" t="s">
        <v>1433</v>
      </c>
      <c r="O165" s="86" t="s">
        <v>1434</v>
      </c>
      <c r="P165" s="89" t="str">
        <f>IFERROR(__xludf.DUMMYFUNCTION("IFERROR(
  TEXT(
    DATE(
      INDEX(SPLIT(O165,"" ""),3),
      VLOOKUP(INDEX(SPLIT(O165,"" ""),1),{""jan."",1;""Feb"",2;""mar."",3;""Apr"",4;""May"",5;""jun."",6;""jul."",7;""Aug"",8;""sep"",9;""Oct"",10;""nov."",11;""Dec"",12},2,FALSE),
      INDEX(S"&amp;"PLIT(O165,"" ""),2)
    ),
    ""dd/mm/yyyy""
  ),
"""")"),"30/04/2026")</f>
        <v>30/04/2026</v>
      </c>
    </row>
    <row r="166">
      <c r="A166" s="85" t="s">
        <v>1435</v>
      </c>
      <c r="B166" s="85" t="s">
        <v>1436</v>
      </c>
      <c r="C166" s="86" t="s">
        <v>937</v>
      </c>
      <c r="D166" s="86" t="s">
        <v>388</v>
      </c>
      <c r="E166" s="87"/>
      <c r="F166" s="86" t="s">
        <v>292</v>
      </c>
      <c r="G166" s="86" t="s">
        <v>389</v>
      </c>
      <c r="H166" s="87"/>
      <c r="I166" s="87"/>
      <c r="J166" s="86" t="s">
        <v>389</v>
      </c>
      <c r="K166" s="86" t="s">
        <v>390</v>
      </c>
      <c r="L166" s="86" t="s">
        <v>391</v>
      </c>
      <c r="M166" s="86" t="s">
        <v>392</v>
      </c>
      <c r="N166" s="86" t="s">
        <v>1437</v>
      </c>
      <c r="O166" s="86" t="s">
        <v>1438</v>
      </c>
      <c r="P166" s="89" t="str">
        <f>IFERROR(__xludf.DUMMYFUNCTION("IFERROR(
  TEXT(
    DATE(
      INDEX(SPLIT(O166,"" ""),3),
      VLOOKUP(INDEX(SPLIT(O166,"" ""),1),{""jan."",1;""Feb"",2;""mar."",3;""Apr"",4;""May"",5;""jun."",6;""jul."",7;""Aug"",8;""sep"",9;""Oct"",10;""nov."",11;""Dec"",12},2,FALSE),
      INDEX(S"&amp;"PLIT(O166,"" ""),2)
    ),
    ""dd/mm/yyyy""
  ),
"""")"),"29/04/2026")</f>
        <v>29/04/2026</v>
      </c>
    </row>
    <row r="167">
      <c r="A167" s="85" t="s">
        <v>1439</v>
      </c>
      <c r="B167" s="85" t="s">
        <v>1440</v>
      </c>
      <c r="C167" s="90"/>
      <c r="D167" s="90"/>
      <c r="E167" s="87"/>
      <c r="F167" s="86" t="s">
        <v>103</v>
      </c>
      <c r="G167" s="86" t="s">
        <v>389</v>
      </c>
      <c r="H167" s="87"/>
      <c r="I167" s="87"/>
      <c r="J167" s="86" t="s">
        <v>389</v>
      </c>
      <c r="K167" s="86" t="s">
        <v>390</v>
      </c>
      <c r="L167" s="86" t="s">
        <v>389</v>
      </c>
      <c r="M167" s="86" t="s">
        <v>389</v>
      </c>
      <c r="N167" s="86" t="s">
        <v>790</v>
      </c>
      <c r="O167" s="88">
        <v>45811.31805555556</v>
      </c>
      <c r="P167" s="89" t="str">
        <f>IFERROR(__xludf.DUMMYFUNCTION("IFERROR(
  TEXT(
    DATE(
      INDEX(SPLIT(O167,"" ""),3),
      VLOOKUP(INDEX(SPLIT(O167,"" ""),1),{""jan."",1;""Feb"",2;""mar."",3;""Apr"",4;""May"",5;""jun."",6;""jul."",7;""Aug"",8;""sep"",9;""Oct"",10;""nov."",11;""Dec"",12},2,FALSE),
      INDEX(S"&amp;"PLIT(O167,"" ""),2)
    ),
    ""dd/mm/yyyy""
  ),
"""")"),"03/06/2025")</f>
        <v>03/06/2025</v>
      </c>
    </row>
    <row r="168">
      <c r="A168" s="85" t="s">
        <v>1441</v>
      </c>
      <c r="B168" s="85" t="s">
        <v>1442</v>
      </c>
      <c r="C168" s="90"/>
      <c r="D168" s="90"/>
      <c r="E168" s="87"/>
      <c r="F168" s="86" t="s">
        <v>253</v>
      </c>
      <c r="G168" s="86" t="s">
        <v>389</v>
      </c>
      <c r="H168" s="87"/>
      <c r="I168" s="87"/>
      <c r="J168" s="86" t="s">
        <v>389</v>
      </c>
      <c r="K168" s="86" t="s">
        <v>390</v>
      </c>
      <c r="L168" s="86" t="s">
        <v>391</v>
      </c>
      <c r="M168" s="86" t="s">
        <v>392</v>
      </c>
      <c r="N168" s="86" t="s">
        <v>794</v>
      </c>
      <c r="O168" s="88">
        <v>45968.49236111111</v>
      </c>
      <c r="P168" s="89" t="str">
        <f>IFERROR(__xludf.DUMMYFUNCTION("IFERROR(
  TEXT(
    DATE(
      INDEX(SPLIT(O168,"" ""),3),
      VLOOKUP(INDEX(SPLIT(O168,"" ""),1),{""jan."",1;""Feb"",2;""mar."",3;""Apr"",4;""May"",5;""jun."",6;""jul."",7;""Aug"",8;""sep"",9;""Oct"",10;""nov."",11;""Dec"",12},2,FALSE),
      INDEX(S"&amp;"PLIT(O168,"" ""),2)
    ),
    ""dd/mm/yyyy""
  ),
"""")"),"07/11/2025")</f>
        <v>07/11/2025</v>
      </c>
    </row>
    <row r="169">
      <c r="A169" s="85" t="s">
        <v>1443</v>
      </c>
      <c r="B169" s="85" t="s">
        <v>1444</v>
      </c>
      <c r="C169" s="90"/>
      <c r="D169" s="90"/>
      <c r="E169" s="87"/>
      <c r="F169" s="86" t="s">
        <v>136</v>
      </c>
      <c r="G169" s="86" t="s">
        <v>389</v>
      </c>
      <c r="H169" s="87"/>
      <c r="I169" s="87"/>
      <c r="J169" s="86" t="s">
        <v>389</v>
      </c>
      <c r="K169" s="86" t="s">
        <v>390</v>
      </c>
      <c r="L169" s="86" t="s">
        <v>391</v>
      </c>
      <c r="M169" s="86" t="s">
        <v>392</v>
      </c>
      <c r="N169" s="86" t="s">
        <v>797</v>
      </c>
      <c r="O169" s="88">
        <v>45968.49722222222</v>
      </c>
      <c r="P169" s="89" t="str">
        <f>IFERROR(__xludf.DUMMYFUNCTION("IFERROR(
  TEXT(
    DATE(
      INDEX(SPLIT(O169,"" ""),3),
      VLOOKUP(INDEX(SPLIT(O169,"" ""),1),{""jan."",1;""Feb"",2;""mar."",3;""Apr"",4;""May"",5;""jun."",6;""jul."",7;""Aug"",8;""sep"",9;""Oct"",10;""nov."",11;""Dec"",12},2,FALSE),
      INDEX(S"&amp;"PLIT(O169,"" ""),2)
    ),
    ""dd/mm/yyyy""
  ),
"""")"),"07/11/2025")</f>
        <v>07/11/2025</v>
      </c>
    </row>
    <row r="170">
      <c r="A170" s="85" t="s">
        <v>1445</v>
      </c>
      <c r="B170" s="85" t="s">
        <v>1446</v>
      </c>
      <c r="C170" s="90"/>
      <c r="D170" s="90"/>
      <c r="E170" s="87"/>
      <c r="F170" s="86" t="s">
        <v>284</v>
      </c>
      <c r="G170" s="86" t="s">
        <v>389</v>
      </c>
      <c r="H170" s="87"/>
      <c r="I170" s="87"/>
      <c r="J170" s="86" t="s">
        <v>389</v>
      </c>
      <c r="K170" s="86" t="s">
        <v>390</v>
      </c>
      <c r="L170" s="86" t="s">
        <v>391</v>
      </c>
      <c r="M170" s="86" t="s">
        <v>392</v>
      </c>
      <c r="N170" s="86" t="s">
        <v>800</v>
      </c>
      <c r="O170" s="88">
        <v>45968.495833333334</v>
      </c>
      <c r="P170" s="89" t="str">
        <f>IFERROR(__xludf.DUMMYFUNCTION("IFERROR(
  TEXT(
    DATE(
      INDEX(SPLIT(O170,"" ""),3),
      VLOOKUP(INDEX(SPLIT(O170,"" ""),1),{""jan."",1;""Feb"",2;""mar."",3;""Apr"",4;""May"",5;""jun."",6;""jul."",7;""Aug"",8;""sep"",9;""Oct"",10;""nov."",11;""Dec"",12},2,FALSE),
      INDEX(S"&amp;"PLIT(O170,"" ""),2)
    ),
    ""dd/mm/yyyy""
  ),
"""")"),"07/11/2025")</f>
        <v>07/11/2025</v>
      </c>
    </row>
    <row r="171">
      <c r="A171" s="85" t="s">
        <v>1447</v>
      </c>
      <c r="B171" s="85" t="s">
        <v>1448</v>
      </c>
      <c r="C171" s="90"/>
      <c r="D171" s="90"/>
      <c r="E171" s="87"/>
      <c r="F171" s="86" t="s">
        <v>284</v>
      </c>
      <c r="G171" s="86" t="s">
        <v>389</v>
      </c>
      <c r="H171" s="87"/>
      <c r="I171" s="87"/>
      <c r="J171" s="86" t="s">
        <v>389</v>
      </c>
      <c r="K171" s="86" t="s">
        <v>390</v>
      </c>
      <c r="L171" s="86" t="s">
        <v>391</v>
      </c>
      <c r="M171" s="86" t="s">
        <v>392</v>
      </c>
      <c r="N171" s="86" t="s">
        <v>803</v>
      </c>
      <c r="O171" s="88">
        <v>45968.49722222222</v>
      </c>
      <c r="P171" s="89" t="str">
        <f>IFERROR(__xludf.DUMMYFUNCTION("IFERROR(
  TEXT(
    DATE(
      INDEX(SPLIT(O171,"" ""),3),
      VLOOKUP(INDEX(SPLIT(O171,"" ""),1),{""jan."",1;""Feb"",2;""mar."",3;""Apr"",4;""May"",5;""jun."",6;""jul."",7;""Aug"",8;""sep"",9;""Oct"",10;""nov."",11;""Dec"",12},2,FALSE),
      INDEX(S"&amp;"PLIT(O171,"" ""),2)
    ),
    ""dd/mm/yyyy""
  ),
"""")"),"07/11/2025")</f>
        <v>07/11/2025</v>
      </c>
    </row>
    <row r="172">
      <c r="A172" s="85" t="s">
        <v>1449</v>
      </c>
      <c r="B172" s="85" t="s">
        <v>1450</v>
      </c>
      <c r="C172" s="90"/>
      <c r="D172" s="90"/>
      <c r="E172" s="87"/>
      <c r="F172" s="86" t="s">
        <v>136</v>
      </c>
      <c r="G172" s="86" t="s">
        <v>389</v>
      </c>
      <c r="H172" s="87"/>
      <c r="I172" s="87"/>
      <c r="J172" s="86" t="s">
        <v>389</v>
      </c>
      <c r="K172" s="86" t="s">
        <v>390</v>
      </c>
      <c r="L172" s="86" t="s">
        <v>391</v>
      </c>
      <c r="M172" s="86" t="s">
        <v>392</v>
      </c>
      <c r="N172" s="86" t="s">
        <v>806</v>
      </c>
      <c r="O172" s="86" t="s">
        <v>1451</v>
      </c>
      <c r="P172" s="89" t="str">
        <f>IFERROR(__xludf.DUMMYFUNCTION("IFERROR(
  TEXT(
    DATE(
      INDEX(SPLIT(O172,"" ""),3),
      VLOOKUP(INDEX(SPLIT(O172,"" ""),1),{""jan."",1;""Feb"",2;""mar."",3;""Apr"",4;""May"",5;""jun."",6;""jul."",7;""Aug"",8;""sep"",9;""Oct"",10;""nov."",11;""Dec"",12},2,FALSE),
      INDEX(S"&amp;"PLIT(O172,"" ""),2)
    ),
    ""dd/mm/yyyy""
  ),
"""")"),"05/12/2025")</f>
        <v>05/12/2025</v>
      </c>
    </row>
    <row r="173">
      <c r="A173" s="85" t="s">
        <v>1452</v>
      </c>
      <c r="B173" s="85" t="s">
        <v>1453</v>
      </c>
      <c r="C173" s="90"/>
      <c r="D173" s="90"/>
      <c r="E173" s="87"/>
      <c r="F173" s="86" t="s">
        <v>284</v>
      </c>
      <c r="G173" s="86" t="s">
        <v>389</v>
      </c>
      <c r="H173" s="87"/>
      <c r="I173" s="87"/>
      <c r="J173" s="86" t="s">
        <v>389</v>
      </c>
      <c r="K173" s="86" t="s">
        <v>390</v>
      </c>
      <c r="L173" s="86" t="s">
        <v>391</v>
      </c>
      <c r="M173" s="86" t="s">
        <v>392</v>
      </c>
      <c r="N173" s="86" t="s">
        <v>614</v>
      </c>
      <c r="O173" s="88">
        <v>45968.49722222222</v>
      </c>
      <c r="P173" s="89" t="str">
        <f>IFERROR(__xludf.DUMMYFUNCTION("IFERROR(
  TEXT(
    DATE(
      INDEX(SPLIT(O173,"" ""),3),
      VLOOKUP(INDEX(SPLIT(O173,"" ""),1),{""jan."",1;""Feb"",2;""mar."",3;""Apr"",4;""May"",5;""jun."",6;""jul."",7;""Aug"",8;""sep"",9;""Oct"",10;""nov."",11;""Dec"",12},2,FALSE),
      INDEX(S"&amp;"PLIT(O173,"" ""),2)
    ),
    ""dd/mm/yyyy""
  ),
"""")"),"07/11/2025")</f>
        <v>07/11/2025</v>
      </c>
    </row>
    <row r="174">
      <c r="A174" s="85" t="s">
        <v>1454</v>
      </c>
      <c r="B174" s="85" t="s">
        <v>1455</v>
      </c>
      <c r="C174" s="90"/>
      <c r="D174" s="90"/>
      <c r="E174" s="87"/>
      <c r="F174" s="86" t="s">
        <v>284</v>
      </c>
      <c r="G174" s="86" t="s">
        <v>389</v>
      </c>
      <c r="H174" s="87"/>
      <c r="I174" s="87"/>
      <c r="J174" s="86" t="s">
        <v>389</v>
      </c>
      <c r="K174" s="86" t="s">
        <v>390</v>
      </c>
      <c r="L174" s="86" t="s">
        <v>391</v>
      </c>
      <c r="M174" s="86" t="s">
        <v>392</v>
      </c>
      <c r="N174" s="86" t="s">
        <v>811</v>
      </c>
      <c r="O174" s="88">
        <v>45962.40625</v>
      </c>
      <c r="P174" s="89" t="str">
        <f>IFERROR(__xludf.DUMMYFUNCTION("IFERROR(
  TEXT(
    DATE(
      INDEX(SPLIT(O174,"" ""),3),
      VLOOKUP(INDEX(SPLIT(O174,"" ""),1),{""jan."",1;""Feb"",2;""mar."",3;""Apr"",4;""May"",5;""jun."",6;""jul."",7;""Aug"",8;""sep"",9;""Oct"",10;""nov."",11;""Dec"",12},2,FALSE),
      INDEX(S"&amp;"PLIT(O174,"" ""),2)
    ),
    ""dd/mm/yyyy""
  ),
"""")"),"01/11/2025")</f>
        <v>01/11/2025</v>
      </c>
    </row>
    <row r="175">
      <c r="A175" s="85" t="s">
        <v>1456</v>
      </c>
      <c r="B175" s="85" t="s">
        <v>1457</v>
      </c>
      <c r="C175" s="90"/>
      <c r="D175" s="90"/>
      <c r="E175" s="87"/>
      <c r="F175" s="86" t="s">
        <v>94</v>
      </c>
      <c r="G175" s="86" t="s">
        <v>389</v>
      </c>
      <c r="H175" s="87"/>
      <c r="I175" s="87"/>
      <c r="J175" s="86" t="s">
        <v>389</v>
      </c>
      <c r="K175" s="86" t="s">
        <v>390</v>
      </c>
      <c r="L175" s="86" t="s">
        <v>391</v>
      </c>
      <c r="M175" s="86" t="s">
        <v>392</v>
      </c>
      <c r="N175" s="86" t="s">
        <v>814</v>
      </c>
      <c r="O175" s="86" t="s">
        <v>1458</v>
      </c>
      <c r="P175" s="89" t="str">
        <f>IFERROR(__xludf.DUMMYFUNCTION("IFERROR(
  TEXT(
    DATE(
      INDEX(SPLIT(O175,"" ""),3),
      VLOOKUP(INDEX(SPLIT(O175,"" ""),1),{""jan."",1;""Feb"",2;""mar."",3;""Apr"",4;""May"",5;""jun."",6;""jul."",7;""Aug"",8;""sep"",9;""Oct"",10;""nov."",11;""Dec"",12},2,FALSE),
      INDEX(S"&amp;"PLIT(O175,"" ""),2)
    ),
    ""dd/mm/yyyy""
  ),
"""")"),"31/10/2025")</f>
        <v>31/10/2025</v>
      </c>
    </row>
    <row r="176">
      <c r="A176" s="85" t="s">
        <v>1459</v>
      </c>
      <c r="B176" s="85" t="s">
        <v>1460</v>
      </c>
      <c r="C176" s="90"/>
      <c r="D176" s="90"/>
      <c r="E176" s="87"/>
      <c r="F176" s="86" t="s">
        <v>284</v>
      </c>
      <c r="G176" s="86" t="s">
        <v>389</v>
      </c>
      <c r="H176" s="87"/>
      <c r="I176" s="87"/>
      <c r="J176" s="86" t="s">
        <v>389</v>
      </c>
      <c r="K176" s="86" t="s">
        <v>390</v>
      </c>
      <c r="L176" s="86" t="s">
        <v>391</v>
      </c>
      <c r="M176" s="86" t="s">
        <v>392</v>
      </c>
      <c r="N176" s="86" t="s">
        <v>817</v>
      </c>
      <c r="O176" s="86" t="s">
        <v>1461</v>
      </c>
      <c r="P176" s="89" t="str">
        <f>IFERROR(__xludf.DUMMYFUNCTION("IFERROR(
  TEXT(
    DATE(
      INDEX(SPLIT(O176,"" ""),3),
      VLOOKUP(INDEX(SPLIT(O176,"" ""),1),{""jan."",1;""Feb"",2;""mar."",3;""Apr"",4;""May"",5;""jun."",6;""jul."",7;""Aug"",8;""sep"",9;""Oct"",10;""nov."",11;""Dec"",12},2,FALSE),
      INDEX(S"&amp;"PLIT(O176,"" ""),2)
    ),
    ""dd/mm/yyyy""
  ),
"""")"),"11/02/2026")</f>
        <v>11/02/2026</v>
      </c>
    </row>
    <row r="177">
      <c r="A177" s="85" t="s">
        <v>1462</v>
      </c>
      <c r="B177" s="85" t="s">
        <v>1463</v>
      </c>
      <c r="C177" s="90"/>
      <c r="D177" s="90"/>
      <c r="E177" s="87"/>
      <c r="F177" s="86" t="s">
        <v>86</v>
      </c>
      <c r="G177" s="86" t="s">
        <v>389</v>
      </c>
      <c r="H177" s="87"/>
      <c r="I177" s="87"/>
      <c r="J177" s="86" t="s">
        <v>389</v>
      </c>
      <c r="K177" s="86" t="s">
        <v>390</v>
      </c>
      <c r="L177" s="86" t="s">
        <v>389</v>
      </c>
      <c r="M177" s="86" t="s">
        <v>389</v>
      </c>
      <c r="N177" s="86" t="s">
        <v>1464</v>
      </c>
      <c r="O177" s="86" t="s">
        <v>1465</v>
      </c>
      <c r="P177" s="89" t="str">
        <f>IFERROR(__xludf.DUMMYFUNCTION("IFERROR(
  TEXT(
    DATE(
      INDEX(SPLIT(O177,"" ""),3),
      VLOOKUP(INDEX(SPLIT(O177,"" ""),1),{""jan."",1;""Feb"",2;""mar."",3;""Apr"",4;""May"",5;""jun."",6;""jul."",7;""Aug"",8;""sep"",9;""Oct"",10;""nov."",11;""Dec"",12},2,FALSE),
      INDEX(S"&amp;"PLIT(O177,"" ""),2)
    ),
    ""dd/mm/yyyy""
  ),
"""")"),"12/02/2026")</f>
        <v>12/02/2026</v>
      </c>
    </row>
    <row r="178">
      <c r="A178" s="85" t="s">
        <v>1466</v>
      </c>
      <c r="B178" s="85" t="s">
        <v>1467</v>
      </c>
      <c r="C178" s="86" t="s">
        <v>937</v>
      </c>
      <c r="D178" s="86" t="s">
        <v>388</v>
      </c>
      <c r="E178" s="87"/>
      <c r="F178" s="86" t="s">
        <v>86</v>
      </c>
      <c r="G178" s="86" t="s">
        <v>389</v>
      </c>
      <c r="H178" s="87"/>
      <c r="I178" s="87"/>
      <c r="J178" s="86" t="s">
        <v>389</v>
      </c>
      <c r="K178" s="86" t="s">
        <v>390</v>
      </c>
      <c r="L178" s="86" t="s">
        <v>391</v>
      </c>
      <c r="M178" s="86" t="s">
        <v>392</v>
      </c>
      <c r="N178" s="86" t="s">
        <v>1468</v>
      </c>
      <c r="O178" s="86" t="s">
        <v>1469</v>
      </c>
      <c r="P178" s="89" t="str">
        <f>IFERROR(__xludf.DUMMYFUNCTION("IFERROR(
  TEXT(
    DATE(
      INDEX(SPLIT(O178,"" ""),3),
      VLOOKUP(INDEX(SPLIT(O178,"" ""),1),{""jan."",1;""Feb"",2;""mar."",3;""Apr"",4;""May"",5;""jun."",6;""jul."",7;""Aug"",8;""sep"",9;""Oct"",10;""nov."",11;""Dec"",12},2,FALSE),
      INDEX(S"&amp;"PLIT(O178,"" ""),2)
    ),
    ""dd/mm/yyyy""
  ),
"""")"),"12/02/2026")</f>
        <v>12/02/2026</v>
      </c>
    </row>
    <row r="179">
      <c r="A179" s="85" t="s">
        <v>1470</v>
      </c>
      <c r="B179" s="85" t="s">
        <v>1471</v>
      </c>
      <c r="C179" s="90"/>
      <c r="D179" s="90"/>
      <c r="E179" s="87"/>
      <c r="F179" s="86" t="s">
        <v>94</v>
      </c>
      <c r="G179" s="86" t="s">
        <v>389</v>
      </c>
      <c r="H179" s="87"/>
      <c r="I179" s="87"/>
      <c r="J179" s="86" t="s">
        <v>389</v>
      </c>
      <c r="K179" s="86" t="s">
        <v>390</v>
      </c>
      <c r="L179" s="86" t="s">
        <v>389</v>
      </c>
      <c r="M179" s="86" t="s">
        <v>389</v>
      </c>
      <c r="N179" s="86" t="s">
        <v>1472</v>
      </c>
      <c r="O179" s="86" t="s">
        <v>1473</v>
      </c>
      <c r="P179" s="89" t="str">
        <f>IFERROR(__xludf.DUMMYFUNCTION("IFERROR(
  TEXT(
    DATE(
      INDEX(SPLIT(O179,"" ""),3),
      VLOOKUP(INDEX(SPLIT(O179,"" ""),1),{""jan."",1;""Feb"",2;""mar."",3;""Apr"",4;""May"",5;""jun."",6;""jul."",7;""Aug"",8;""sep"",9;""Oct"",10;""nov."",11;""Dec"",12},2,FALSE),
      INDEX(S"&amp;"PLIT(O179,"" ""),2)
    ),
    ""dd/mm/yyyy""
  ),
"""")"),"12/02/2026")</f>
        <v>12/02/2026</v>
      </c>
    </row>
    <row r="180">
      <c r="A180" s="85" t="s">
        <v>1474</v>
      </c>
      <c r="B180" s="85" t="s">
        <v>1475</v>
      </c>
      <c r="C180" s="90"/>
      <c r="D180" s="90"/>
      <c r="E180" s="87"/>
      <c r="F180" s="86" t="s">
        <v>86</v>
      </c>
      <c r="G180" s="86" t="s">
        <v>389</v>
      </c>
      <c r="H180" s="87"/>
      <c r="I180" s="87"/>
      <c r="J180" s="86" t="s">
        <v>389</v>
      </c>
      <c r="K180" s="86" t="s">
        <v>390</v>
      </c>
      <c r="L180" s="86" t="s">
        <v>391</v>
      </c>
      <c r="M180" s="86" t="s">
        <v>392</v>
      </c>
      <c r="N180" s="86" t="s">
        <v>1476</v>
      </c>
      <c r="O180" s="86" t="s">
        <v>1477</v>
      </c>
      <c r="P180" s="89" t="str">
        <f>IFERROR(__xludf.DUMMYFUNCTION("IFERROR(
  TEXT(
    DATE(
      INDEX(SPLIT(O180,"" ""),3),
      VLOOKUP(INDEX(SPLIT(O180,"" ""),1),{""jan."",1;""Feb"",2;""mar."",3;""Apr"",4;""May"",5;""jun."",6;""jul."",7;""Aug"",8;""sep"",9;""Oct"",10;""nov."",11;""Dec"",12},2,FALSE),
      INDEX(S"&amp;"PLIT(O180,"" ""),2)
    ),
    ""dd/mm/yyyy""
  ),
"""")"),"19/02/2025")</f>
        <v>19/02/2025</v>
      </c>
    </row>
    <row r="181">
      <c r="A181" s="85" t="s">
        <v>1478</v>
      </c>
      <c r="B181" s="85" t="s">
        <v>1479</v>
      </c>
      <c r="C181" s="90"/>
      <c r="D181" s="90"/>
      <c r="E181" s="87"/>
      <c r="F181" s="86" t="s">
        <v>103</v>
      </c>
      <c r="G181" s="86" t="s">
        <v>389</v>
      </c>
      <c r="H181" s="87"/>
      <c r="I181" s="87"/>
      <c r="J181" s="86" t="s">
        <v>389</v>
      </c>
      <c r="K181" s="86" t="s">
        <v>390</v>
      </c>
      <c r="L181" s="86" t="s">
        <v>391</v>
      </c>
      <c r="M181" s="86" t="s">
        <v>392</v>
      </c>
      <c r="N181" s="86" t="s">
        <v>1480</v>
      </c>
      <c r="O181" s="86" t="s">
        <v>1477</v>
      </c>
      <c r="P181" s="89" t="str">
        <f>IFERROR(__xludf.DUMMYFUNCTION("IFERROR(
  TEXT(
    DATE(
      INDEX(SPLIT(O181,"" ""),3),
      VLOOKUP(INDEX(SPLIT(O181,"" ""),1),{""jan."",1;""Feb"",2;""mar."",3;""Apr"",4;""May"",5;""jun."",6;""jul."",7;""Aug"",8;""sep"",9;""Oct"",10;""nov."",11;""Dec"",12},2,FALSE),
      INDEX(S"&amp;"PLIT(O181,"" ""),2)
    ),
    ""dd/mm/yyyy""
  ),
"""")"),"19/02/2025")</f>
        <v>19/02/2025</v>
      </c>
    </row>
    <row r="182">
      <c r="A182" s="85" t="s">
        <v>1481</v>
      </c>
      <c r="B182" s="85" t="s">
        <v>1482</v>
      </c>
      <c r="C182" s="90"/>
      <c r="D182" s="90"/>
      <c r="E182" s="87"/>
      <c r="F182" s="86" t="s">
        <v>86</v>
      </c>
      <c r="G182" s="86" t="s">
        <v>389</v>
      </c>
      <c r="H182" s="87"/>
      <c r="I182" s="87"/>
      <c r="J182" s="86" t="s">
        <v>389</v>
      </c>
      <c r="K182" s="86" t="s">
        <v>390</v>
      </c>
      <c r="L182" s="86" t="s">
        <v>391</v>
      </c>
      <c r="M182" s="86" t="s">
        <v>392</v>
      </c>
      <c r="N182" s="86" t="s">
        <v>1483</v>
      </c>
      <c r="O182" s="86" t="s">
        <v>1477</v>
      </c>
      <c r="P182" s="89" t="str">
        <f>IFERROR(__xludf.DUMMYFUNCTION("IFERROR(
  TEXT(
    DATE(
      INDEX(SPLIT(O182,"" ""),3),
      VLOOKUP(INDEX(SPLIT(O182,"" ""),1),{""jan."",1;""Feb"",2;""mar."",3;""Apr"",4;""May"",5;""jun."",6;""jul."",7;""Aug"",8;""sep"",9;""Oct"",10;""nov."",11;""Dec"",12},2,FALSE),
      INDEX(S"&amp;"PLIT(O182,"" ""),2)
    ),
    ""dd/mm/yyyy""
  ),
"""")"),"19/02/2025")</f>
        <v>19/02/2025</v>
      </c>
    </row>
    <row r="183">
      <c r="A183" s="85" t="s">
        <v>1484</v>
      </c>
      <c r="B183" s="85" t="s">
        <v>1485</v>
      </c>
      <c r="C183" s="90"/>
      <c r="D183" s="90"/>
      <c r="E183" s="87"/>
      <c r="F183" s="86" t="s">
        <v>86</v>
      </c>
      <c r="G183" s="86" t="s">
        <v>389</v>
      </c>
      <c r="H183" s="87"/>
      <c r="I183" s="87"/>
      <c r="J183" s="86" t="s">
        <v>389</v>
      </c>
      <c r="K183" s="86" t="s">
        <v>390</v>
      </c>
      <c r="L183" s="86" t="s">
        <v>391</v>
      </c>
      <c r="M183" s="86" t="s">
        <v>392</v>
      </c>
      <c r="N183" s="86" t="s">
        <v>1483</v>
      </c>
      <c r="O183" s="86" t="s">
        <v>1477</v>
      </c>
      <c r="P183" s="89" t="str">
        <f>IFERROR(__xludf.DUMMYFUNCTION("IFERROR(
  TEXT(
    DATE(
      INDEX(SPLIT(O183,"" ""),3),
      VLOOKUP(INDEX(SPLIT(O183,"" ""),1),{""jan."",1;""Feb"",2;""mar."",3;""Apr"",4;""May"",5;""jun."",6;""jul."",7;""Aug"",8;""sep"",9;""Oct"",10;""nov."",11;""Dec"",12},2,FALSE),
      INDEX(S"&amp;"PLIT(O183,"" ""),2)
    ),
    ""dd/mm/yyyy""
  ),
"""")"),"19/02/2025")</f>
        <v>19/02/2025</v>
      </c>
    </row>
    <row r="184">
      <c r="A184" s="85" t="s">
        <v>1486</v>
      </c>
      <c r="B184" s="85" t="s">
        <v>1487</v>
      </c>
      <c r="C184" s="90"/>
      <c r="D184" s="90"/>
      <c r="E184" s="87"/>
      <c r="F184" s="86" t="s">
        <v>86</v>
      </c>
      <c r="G184" s="86" t="s">
        <v>389</v>
      </c>
      <c r="H184" s="87"/>
      <c r="I184" s="87"/>
      <c r="J184" s="86" t="s">
        <v>389</v>
      </c>
      <c r="K184" s="86" t="s">
        <v>390</v>
      </c>
      <c r="L184" s="86" t="s">
        <v>391</v>
      </c>
      <c r="M184" s="86" t="s">
        <v>392</v>
      </c>
      <c r="N184" s="86" t="s">
        <v>1488</v>
      </c>
      <c r="O184" s="86" t="s">
        <v>1477</v>
      </c>
      <c r="P184" s="89" t="str">
        <f>IFERROR(__xludf.DUMMYFUNCTION("IFERROR(
  TEXT(
    DATE(
      INDEX(SPLIT(O184,"" ""),3),
      VLOOKUP(INDEX(SPLIT(O184,"" ""),1),{""jan."",1;""Feb"",2;""mar."",3;""Apr"",4;""May"",5;""jun."",6;""jul."",7;""Aug"",8;""sep"",9;""Oct"",10;""nov."",11;""Dec"",12},2,FALSE),
      INDEX(S"&amp;"PLIT(O184,"" ""),2)
    ),
    ""dd/mm/yyyy""
  ),
"""")"),"19/02/2025")</f>
        <v>19/02/2025</v>
      </c>
    </row>
    <row r="185">
      <c r="A185" s="85" t="s">
        <v>1489</v>
      </c>
      <c r="B185" s="85" t="s">
        <v>1490</v>
      </c>
      <c r="C185" s="90"/>
      <c r="D185" s="90"/>
      <c r="E185" s="87"/>
      <c r="F185" s="86" t="s">
        <v>103</v>
      </c>
      <c r="G185" s="86" t="s">
        <v>389</v>
      </c>
      <c r="H185" s="87"/>
      <c r="I185" s="87"/>
      <c r="J185" s="86" t="s">
        <v>389</v>
      </c>
      <c r="K185" s="86" t="s">
        <v>390</v>
      </c>
      <c r="L185" s="86" t="s">
        <v>391</v>
      </c>
      <c r="M185" s="86" t="s">
        <v>392</v>
      </c>
      <c r="N185" s="86" t="s">
        <v>1491</v>
      </c>
      <c r="O185" s="86" t="s">
        <v>1477</v>
      </c>
      <c r="P185" s="89" t="str">
        <f>IFERROR(__xludf.DUMMYFUNCTION("IFERROR(
  TEXT(
    DATE(
      INDEX(SPLIT(O185,"" ""),3),
      VLOOKUP(INDEX(SPLIT(O185,"" ""),1),{""jan."",1;""Feb"",2;""mar."",3;""Apr"",4;""May"",5;""jun."",6;""jul."",7;""Aug"",8;""sep"",9;""Oct"",10;""nov."",11;""Dec"",12},2,FALSE),
      INDEX(S"&amp;"PLIT(O185,"" ""),2)
    ),
    ""dd/mm/yyyy""
  ),
"""")"),"19/02/2025")</f>
        <v>19/02/2025</v>
      </c>
    </row>
    <row r="186">
      <c r="A186" s="85" t="s">
        <v>1492</v>
      </c>
      <c r="B186" s="85" t="s">
        <v>1493</v>
      </c>
      <c r="C186" s="90"/>
      <c r="D186" s="90"/>
      <c r="E186" s="87"/>
      <c r="F186" s="86" t="s">
        <v>86</v>
      </c>
      <c r="G186" s="86" t="s">
        <v>389</v>
      </c>
      <c r="H186" s="87"/>
      <c r="I186" s="87"/>
      <c r="J186" s="86" t="s">
        <v>389</v>
      </c>
      <c r="K186" s="86" t="s">
        <v>390</v>
      </c>
      <c r="L186" s="86" t="s">
        <v>391</v>
      </c>
      <c r="M186" s="86" t="s">
        <v>392</v>
      </c>
      <c r="N186" s="86" t="s">
        <v>1494</v>
      </c>
      <c r="O186" s="88">
        <v>45841.67013888889</v>
      </c>
      <c r="P186" s="89" t="str">
        <f>IFERROR(__xludf.DUMMYFUNCTION("IFERROR(
  TEXT(
    DATE(
      INDEX(SPLIT(O186,"" ""),3),
      VLOOKUP(INDEX(SPLIT(O186,"" ""),1),{""jan."",1;""Feb"",2;""mar."",3;""Apr"",4;""May"",5;""jun."",6;""jul."",7;""Aug"",8;""sep"",9;""Oct"",10;""nov."",11;""Dec"",12},2,FALSE),
      INDEX(S"&amp;"PLIT(O186,"" ""),2)
    ),
    ""dd/mm/yyyy""
  ),
"""")"),"03/07/2025")</f>
        <v>03/07/2025</v>
      </c>
    </row>
    <row r="187">
      <c r="A187" s="85" t="s">
        <v>1495</v>
      </c>
      <c r="B187" s="85" t="s">
        <v>1496</v>
      </c>
      <c r="C187" s="90"/>
      <c r="D187" s="90"/>
      <c r="E187" s="87"/>
      <c r="F187" s="86" t="s">
        <v>86</v>
      </c>
      <c r="G187" s="86" t="s">
        <v>389</v>
      </c>
      <c r="H187" s="87"/>
      <c r="I187" s="87"/>
      <c r="J187" s="86" t="s">
        <v>389</v>
      </c>
      <c r="K187" s="86" t="s">
        <v>390</v>
      </c>
      <c r="L187" s="86" t="s">
        <v>391</v>
      </c>
      <c r="M187" s="86" t="s">
        <v>392</v>
      </c>
      <c r="N187" s="86" t="s">
        <v>1497</v>
      </c>
      <c r="O187" s="86" t="s">
        <v>1498</v>
      </c>
      <c r="P187" s="89" t="str">
        <f>IFERROR(__xludf.DUMMYFUNCTION("IFERROR(
  TEXT(
    DATE(
      INDEX(SPLIT(O187,"" ""),3),
      VLOOKUP(INDEX(SPLIT(O187,"" ""),1),{""jan."",1;""Feb"",2;""mar."",3;""Apr"",4;""May"",5;""jun."",6;""jul."",7;""Aug"",8;""sep"",9;""Oct"",10;""nov."",11;""Dec"",12},2,FALSE),
      INDEX(S"&amp;"PLIT(O187,"" ""),2)
    ),
    ""dd/mm/yyyy""
  ),
"""")"),"08/05/2025")</f>
        <v>08/05/2025</v>
      </c>
    </row>
    <row r="188">
      <c r="A188" s="85" t="s">
        <v>1499</v>
      </c>
      <c r="B188" s="85" t="s">
        <v>1500</v>
      </c>
      <c r="C188" s="90"/>
      <c r="D188" s="90"/>
      <c r="E188" s="87"/>
      <c r="F188" s="86" t="s">
        <v>86</v>
      </c>
      <c r="G188" s="86" t="s">
        <v>389</v>
      </c>
      <c r="H188" s="87"/>
      <c r="I188" s="87"/>
      <c r="J188" s="86" t="s">
        <v>389</v>
      </c>
      <c r="K188" s="86" t="s">
        <v>390</v>
      </c>
      <c r="L188" s="86" t="s">
        <v>391</v>
      </c>
      <c r="M188" s="86" t="s">
        <v>392</v>
      </c>
      <c r="N188" s="86" t="s">
        <v>824</v>
      </c>
      <c r="O188" s="86" t="s">
        <v>1498</v>
      </c>
      <c r="P188" s="89" t="str">
        <f>IFERROR(__xludf.DUMMYFUNCTION("IFERROR(
  TEXT(
    DATE(
      INDEX(SPLIT(O188,"" ""),3),
      VLOOKUP(INDEX(SPLIT(O188,"" ""),1),{""jan."",1;""Feb"",2;""mar."",3;""Apr"",4;""May"",5;""jun."",6;""jul."",7;""Aug"",8;""sep"",9;""Oct"",10;""nov."",11;""Dec"",12},2,FALSE),
      INDEX(S"&amp;"PLIT(O188,"" ""),2)
    ),
    ""dd/mm/yyyy""
  ),
"""")"),"08/05/2025")</f>
        <v>08/05/2025</v>
      </c>
    </row>
    <row r="189">
      <c r="A189" s="85" t="s">
        <v>1501</v>
      </c>
      <c r="B189" s="85" t="s">
        <v>1502</v>
      </c>
      <c r="C189" s="90"/>
      <c r="D189" s="90"/>
      <c r="E189" s="87"/>
      <c r="F189" s="86" t="s">
        <v>86</v>
      </c>
      <c r="G189" s="86" t="s">
        <v>389</v>
      </c>
      <c r="H189" s="87"/>
      <c r="I189" s="87"/>
      <c r="J189" s="86" t="s">
        <v>389</v>
      </c>
      <c r="K189" s="86" t="s">
        <v>390</v>
      </c>
      <c r="L189" s="86" t="s">
        <v>391</v>
      </c>
      <c r="M189" s="86" t="s">
        <v>392</v>
      </c>
      <c r="N189" s="86" t="s">
        <v>1057</v>
      </c>
      <c r="O189" s="88">
        <v>45841.67013888889</v>
      </c>
      <c r="P189" s="89" t="str">
        <f>IFERROR(__xludf.DUMMYFUNCTION("IFERROR(
  TEXT(
    DATE(
      INDEX(SPLIT(O189,"" ""),3),
      VLOOKUP(INDEX(SPLIT(O189,"" ""),1),{""jan."",1;""Feb"",2;""mar."",3;""Apr"",4;""May"",5;""jun."",6;""jul."",7;""Aug"",8;""sep"",9;""Oct"",10;""nov."",11;""Dec"",12},2,FALSE),
      INDEX(S"&amp;"PLIT(O189,"" ""),2)
    ),
    ""dd/mm/yyyy""
  ),
"""")"),"03/07/2025")</f>
        <v>03/07/2025</v>
      </c>
    </row>
    <row r="190">
      <c r="A190" s="85" t="s">
        <v>1503</v>
      </c>
      <c r="B190" s="85" t="s">
        <v>1504</v>
      </c>
      <c r="C190" s="90"/>
      <c r="D190" s="90"/>
      <c r="E190" s="87"/>
      <c r="F190" s="86" t="s">
        <v>86</v>
      </c>
      <c r="G190" s="86" t="s">
        <v>389</v>
      </c>
      <c r="H190" s="87"/>
      <c r="I190" s="87"/>
      <c r="J190" s="86" t="s">
        <v>389</v>
      </c>
      <c r="K190" s="86" t="s">
        <v>390</v>
      </c>
      <c r="L190" s="86" t="s">
        <v>391</v>
      </c>
      <c r="M190" s="86" t="s">
        <v>392</v>
      </c>
      <c r="N190" s="86" t="s">
        <v>824</v>
      </c>
      <c r="O190" s="86" t="s">
        <v>1477</v>
      </c>
      <c r="P190" s="89" t="str">
        <f>IFERROR(__xludf.DUMMYFUNCTION("IFERROR(
  TEXT(
    DATE(
      INDEX(SPLIT(O190,"" ""),3),
      VLOOKUP(INDEX(SPLIT(O190,"" ""),1),{""jan."",1;""Feb"",2;""mar."",3;""Apr"",4;""May"",5;""jun."",6;""jul."",7;""Aug"",8;""sep"",9;""Oct"",10;""nov."",11;""Dec"",12},2,FALSE),
      INDEX(S"&amp;"PLIT(O190,"" ""),2)
    ),
    ""dd/mm/yyyy""
  ),
"""")"),"19/02/2025")</f>
        <v>19/02/2025</v>
      </c>
    </row>
    <row r="191">
      <c r="A191" s="85" t="s">
        <v>1505</v>
      </c>
      <c r="B191" s="85" t="s">
        <v>1506</v>
      </c>
      <c r="C191" s="90"/>
      <c r="D191" s="90"/>
      <c r="E191" s="87"/>
      <c r="F191" s="86" t="s">
        <v>86</v>
      </c>
      <c r="G191" s="86" t="s">
        <v>389</v>
      </c>
      <c r="H191" s="87"/>
      <c r="I191" s="87"/>
      <c r="J191" s="86" t="s">
        <v>389</v>
      </c>
      <c r="K191" s="86" t="s">
        <v>390</v>
      </c>
      <c r="L191" s="86" t="s">
        <v>391</v>
      </c>
      <c r="M191" s="86" t="s">
        <v>392</v>
      </c>
      <c r="N191" s="86" t="s">
        <v>1507</v>
      </c>
      <c r="O191" s="88">
        <v>45664.45</v>
      </c>
      <c r="P191" s="89" t="str">
        <f>IFERROR(__xludf.DUMMYFUNCTION("IFERROR(
  TEXT(
    DATE(
      INDEX(SPLIT(O191,"" ""),3),
      VLOOKUP(INDEX(SPLIT(O191,"" ""),1),{""jan."",1;""Feb"",2;""mar."",3;""Apr"",4;""May"",5;""jun."",6;""jul."",7;""Aug"",8;""sep"",9;""Oct"",10;""nov."",11;""Dec"",12},2,FALSE),
      INDEX(S"&amp;"PLIT(O191,"" ""),2)
    ),
    ""dd/mm/yyyy""
  ),
"""")"),"07/01/2025")</f>
        <v>07/01/2025</v>
      </c>
    </row>
    <row r="192">
      <c r="A192" s="85" t="s">
        <v>1508</v>
      </c>
      <c r="B192" s="85" t="s">
        <v>1509</v>
      </c>
      <c r="C192" s="90"/>
      <c r="D192" s="90"/>
      <c r="E192" s="87"/>
      <c r="F192" s="86" t="s">
        <v>86</v>
      </c>
      <c r="G192" s="86" t="s">
        <v>389</v>
      </c>
      <c r="H192" s="87"/>
      <c r="I192" s="87"/>
      <c r="J192" s="86" t="s">
        <v>389</v>
      </c>
      <c r="K192" s="86" t="s">
        <v>390</v>
      </c>
      <c r="L192" s="86" t="s">
        <v>391</v>
      </c>
      <c r="M192" s="86" t="s">
        <v>392</v>
      </c>
      <c r="N192" s="86" t="s">
        <v>504</v>
      </c>
      <c r="O192" s="86" t="s">
        <v>1510</v>
      </c>
      <c r="P192" s="89" t="str">
        <f>IFERROR(__xludf.DUMMYFUNCTION("IFERROR(
  TEXT(
    DATE(
      INDEX(SPLIT(O192,"" ""),3),
      VLOOKUP(INDEX(SPLIT(O192,"" ""),1),{""jan."",1;""Feb"",2;""mar."",3;""Apr"",4;""May"",5;""jun."",6;""jul."",7;""Aug"",8;""sep"",9;""Oct"",10;""nov."",11;""Dec"",12},2,FALSE),
      INDEX(S"&amp;"PLIT(O192,"" ""),2)
    ),
    ""dd/mm/yyyy""
  ),
"""")"),"18/12/2024")</f>
        <v>18/12/2024</v>
      </c>
    </row>
    <row r="193">
      <c r="A193" s="85" t="s">
        <v>1511</v>
      </c>
      <c r="B193" s="85" t="s">
        <v>1512</v>
      </c>
      <c r="C193" s="90"/>
      <c r="D193" s="90"/>
      <c r="E193" s="87"/>
      <c r="F193" s="86" t="s">
        <v>86</v>
      </c>
      <c r="G193" s="86" t="s">
        <v>389</v>
      </c>
      <c r="H193" s="87"/>
      <c r="I193" s="87"/>
      <c r="J193" s="86" t="s">
        <v>389</v>
      </c>
      <c r="K193" s="86" t="s">
        <v>390</v>
      </c>
      <c r="L193" s="86" t="s">
        <v>391</v>
      </c>
      <c r="M193" s="86" t="s">
        <v>392</v>
      </c>
      <c r="N193" s="86" t="s">
        <v>817</v>
      </c>
      <c r="O193" s="86" t="s">
        <v>1510</v>
      </c>
      <c r="P193" s="89" t="str">
        <f>IFERROR(__xludf.DUMMYFUNCTION("IFERROR(
  TEXT(
    DATE(
      INDEX(SPLIT(O193,"" ""),3),
      VLOOKUP(INDEX(SPLIT(O193,"" ""),1),{""jan."",1;""Feb"",2;""mar."",3;""Apr"",4;""May"",5;""jun."",6;""jul."",7;""Aug"",8;""sep"",9;""Oct"",10;""nov."",11;""Dec"",12},2,FALSE),
      INDEX(S"&amp;"PLIT(O193,"" ""),2)
    ),
    ""dd/mm/yyyy""
  ),
"""")"),"18/12/2024")</f>
        <v>18/12/2024</v>
      </c>
    </row>
    <row r="194">
      <c r="A194" s="85" t="s">
        <v>1513</v>
      </c>
      <c r="B194" s="85" t="s">
        <v>1514</v>
      </c>
      <c r="C194" s="90"/>
      <c r="D194" s="90"/>
      <c r="E194" s="87"/>
      <c r="F194" s="86" t="s">
        <v>86</v>
      </c>
      <c r="G194" s="86" t="s">
        <v>389</v>
      </c>
      <c r="H194" s="87"/>
      <c r="I194" s="87"/>
      <c r="J194" s="86" t="s">
        <v>389</v>
      </c>
      <c r="K194" s="86" t="s">
        <v>390</v>
      </c>
      <c r="L194" s="86" t="s">
        <v>391</v>
      </c>
      <c r="M194" s="86" t="s">
        <v>392</v>
      </c>
      <c r="N194" s="86" t="s">
        <v>1515</v>
      </c>
      <c r="O194" s="88">
        <v>45664.44930555556</v>
      </c>
      <c r="P194" s="89" t="str">
        <f>IFERROR(__xludf.DUMMYFUNCTION("IFERROR(
  TEXT(
    DATE(
      INDEX(SPLIT(O194,"" ""),3),
      VLOOKUP(INDEX(SPLIT(O194,"" ""),1),{""jan."",1;""Feb"",2;""mar."",3;""Apr"",4;""May"",5;""jun."",6;""jul."",7;""Aug"",8;""sep"",9;""Oct"",10;""nov."",11;""Dec"",12},2,FALSE),
      INDEX(S"&amp;"PLIT(O194,"" ""),2)
    ),
    ""dd/mm/yyyy""
  ),
"""")"),"07/01/2025")</f>
        <v>07/01/2025</v>
      </c>
    </row>
    <row r="195">
      <c r="A195" s="85" t="s">
        <v>1516</v>
      </c>
      <c r="B195" s="85" t="s">
        <v>1517</v>
      </c>
      <c r="C195" s="90"/>
      <c r="D195" s="90"/>
      <c r="E195" s="87"/>
      <c r="F195" s="86" t="s">
        <v>86</v>
      </c>
      <c r="G195" s="86" t="s">
        <v>389</v>
      </c>
      <c r="H195" s="87"/>
      <c r="I195" s="87"/>
      <c r="J195" s="86" t="s">
        <v>389</v>
      </c>
      <c r="K195" s="86" t="s">
        <v>390</v>
      </c>
      <c r="L195" s="86" t="s">
        <v>391</v>
      </c>
      <c r="M195" s="86" t="s">
        <v>392</v>
      </c>
      <c r="N195" s="86" t="s">
        <v>1518</v>
      </c>
      <c r="O195" s="88">
        <v>45664.44861111111</v>
      </c>
      <c r="P195" s="89" t="str">
        <f>IFERROR(__xludf.DUMMYFUNCTION("IFERROR(
  TEXT(
    DATE(
      INDEX(SPLIT(O195,"" ""),3),
      VLOOKUP(INDEX(SPLIT(O195,"" ""),1),{""jan."",1;""Feb"",2;""mar."",3;""Apr"",4;""May"",5;""jun."",6;""jul."",7;""Aug"",8;""sep"",9;""Oct"",10;""nov."",11;""Dec"",12},2,FALSE),
      INDEX(S"&amp;"PLIT(O195,"" ""),2)
    ),
    ""dd/mm/yyyy""
  ),
"""")"),"07/01/2025")</f>
        <v>07/01/2025</v>
      </c>
    </row>
    <row r="196">
      <c r="A196" s="85" t="s">
        <v>1519</v>
      </c>
      <c r="B196" s="85" t="s">
        <v>1520</v>
      </c>
      <c r="C196" s="90"/>
      <c r="D196" s="90"/>
      <c r="E196" s="87"/>
      <c r="F196" s="86" t="s">
        <v>86</v>
      </c>
      <c r="G196" s="86" t="s">
        <v>389</v>
      </c>
      <c r="H196" s="87"/>
      <c r="I196" s="87"/>
      <c r="J196" s="86" t="s">
        <v>389</v>
      </c>
      <c r="K196" s="86" t="s">
        <v>390</v>
      </c>
      <c r="L196" s="86" t="s">
        <v>391</v>
      </c>
      <c r="M196" s="86" t="s">
        <v>392</v>
      </c>
      <c r="N196" s="86" t="s">
        <v>1518</v>
      </c>
      <c r="O196" s="88">
        <v>45664.44861111111</v>
      </c>
      <c r="P196" s="89" t="str">
        <f>IFERROR(__xludf.DUMMYFUNCTION("IFERROR(
  TEXT(
    DATE(
      INDEX(SPLIT(O196,"" ""),3),
      VLOOKUP(INDEX(SPLIT(O196,"" ""),1),{""jan."",1;""Feb"",2;""mar."",3;""Apr"",4;""May"",5;""jun."",6;""jul."",7;""Aug"",8;""sep"",9;""Oct"",10;""nov."",11;""Dec"",12},2,FALSE),
      INDEX(S"&amp;"PLIT(O196,"" ""),2)
    ),
    ""dd/mm/yyyy""
  ),
"""")"),"07/01/2025")</f>
        <v>07/01/2025</v>
      </c>
    </row>
    <row r="197">
      <c r="A197" s="85" t="s">
        <v>1521</v>
      </c>
      <c r="B197" s="85" t="s">
        <v>1522</v>
      </c>
      <c r="C197" s="90"/>
      <c r="D197" s="90"/>
      <c r="E197" s="87"/>
      <c r="F197" s="86" t="s">
        <v>86</v>
      </c>
      <c r="G197" s="86" t="s">
        <v>389</v>
      </c>
      <c r="H197" s="87"/>
      <c r="I197" s="87"/>
      <c r="J197" s="86" t="s">
        <v>389</v>
      </c>
      <c r="K197" s="86" t="s">
        <v>390</v>
      </c>
      <c r="L197" s="86" t="s">
        <v>391</v>
      </c>
      <c r="M197" s="86" t="s">
        <v>392</v>
      </c>
      <c r="N197" s="86" t="s">
        <v>1523</v>
      </c>
      <c r="O197" s="88">
        <v>45664.44930555556</v>
      </c>
      <c r="P197" s="89" t="str">
        <f>IFERROR(__xludf.DUMMYFUNCTION("IFERROR(
  TEXT(
    DATE(
      INDEX(SPLIT(O197,"" ""),3),
      VLOOKUP(INDEX(SPLIT(O197,"" ""),1),{""jan."",1;""Feb"",2;""mar."",3;""Apr"",4;""May"",5;""jun."",6;""jul."",7;""Aug"",8;""sep"",9;""Oct"",10;""nov."",11;""Dec"",12},2,FALSE),
      INDEX(S"&amp;"PLIT(O197,"" ""),2)
    ),
    ""dd/mm/yyyy""
  ),
"""")"),"07/01/2025")</f>
        <v>07/01/2025</v>
      </c>
    </row>
    <row r="198">
      <c r="A198" s="85" t="s">
        <v>1524</v>
      </c>
      <c r="B198" s="85" t="s">
        <v>1525</v>
      </c>
      <c r="C198" s="90"/>
      <c r="D198" s="90"/>
      <c r="E198" s="87"/>
      <c r="F198" s="86" t="s">
        <v>86</v>
      </c>
      <c r="G198" s="86" t="s">
        <v>389</v>
      </c>
      <c r="H198" s="87"/>
      <c r="I198" s="87"/>
      <c r="J198" s="86" t="s">
        <v>389</v>
      </c>
      <c r="K198" s="86" t="s">
        <v>390</v>
      </c>
      <c r="L198" s="86" t="s">
        <v>391</v>
      </c>
      <c r="M198" s="86" t="s">
        <v>392</v>
      </c>
      <c r="N198" s="86" t="s">
        <v>1526</v>
      </c>
      <c r="O198" s="88">
        <v>45664.44930555556</v>
      </c>
      <c r="P198" s="89" t="str">
        <f>IFERROR(__xludf.DUMMYFUNCTION("IFERROR(
  TEXT(
    DATE(
      INDEX(SPLIT(O198,"" ""),3),
      VLOOKUP(INDEX(SPLIT(O198,"" ""),1),{""jan."",1;""Feb"",2;""mar."",3;""Apr"",4;""May"",5;""jun."",6;""jul."",7;""Aug"",8;""sep"",9;""Oct"",10;""nov."",11;""Dec"",12},2,FALSE),
      INDEX(S"&amp;"PLIT(O198,"" ""),2)
    ),
    ""dd/mm/yyyy""
  ),
"""")"),"07/01/2025")</f>
        <v>07/01/2025</v>
      </c>
    </row>
    <row r="199">
      <c r="A199" s="85" t="s">
        <v>1527</v>
      </c>
      <c r="B199" s="85" t="s">
        <v>1528</v>
      </c>
      <c r="C199" s="90"/>
      <c r="D199" s="90"/>
      <c r="E199" s="87"/>
      <c r="F199" s="86" t="s">
        <v>103</v>
      </c>
      <c r="G199" s="86" t="s">
        <v>389</v>
      </c>
      <c r="H199" s="87"/>
      <c r="I199" s="87"/>
      <c r="J199" s="86" t="s">
        <v>389</v>
      </c>
      <c r="K199" s="86" t="s">
        <v>390</v>
      </c>
      <c r="L199" s="86" t="s">
        <v>391</v>
      </c>
      <c r="M199" s="86" t="s">
        <v>392</v>
      </c>
      <c r="N199" s="86" t="s">
        <v>1529</v>
      </c>
      <c r="O199" s="86" t="s">
        <v>1510</v>
      </c>
      <c r="P199" s="89" t="str">
        <f>IFERROR(__xludf.DUMMYFUNCTION("IFERROR(
  TEXT(
    DATE(
      INDEX(SPLIT(O199,"" ""),3),
      VLOOKUP(INDEX(SPLIT(O199,"" ""),1),{""jan."",1;""Feb"",2;""mar."",3;""Apr"",4;""May"",5;""jun."",6;""jul."",7;""Aug"",8;""sep"",9;""Oct"",10;""nov."",11;""Dec"",12},2,FALSE),
      INDEX(S"&amp;"PLIT(O199,"" ""),2)
    ),
    ""dd/mm/yyyy""
  ),
"""")"),"18/12/2024")</f>
        <v>18/12/2024</v>
      </c>
    </row>
    <row r="200">
      <c r="A200" s="85" t="s">
        <v>1530</v>
      </c>
      <c r="B200" s="85" t="s">
        <v>1531</v>
      </c>
      <c r="C200" s="90"/>
      <c r="D200" s="90"/>
      <c r="E200" s="87"/>
      <c r="F200" s="86" t="s">
        <v>86</v>
      </c>
      <c r="G200" s="86" t="s">
        <v>389</v>
      </c>
      <c r="H200" s="87"/>
      <c r="I200" s="87"/>
      <c r="J200" s="86" t="s">
        <v>389</v>
      </c>
      <c r="K200" s="86" t="s">
        <v>390</v>
      </c>
      <c r="L200" s="86" t="s">
        <v>391</v>
      </c>
      <c r="M200" s="86" t="s">
        <v>392</v>
      </c>
      <c r="N200" s="86" t="s">
        <v>1532</v>
      </c>
      <c r="O200" s="86" t="s">
        <v>1510</v>
      </c>
      <c r="P200" s="89" t="str">
        <f>IFERROR(__xludf.DUMMYFUNCTION("IFERROR(
  TEXT(
    DATE(
      INDEX(SPLIT(O200,"" ""),3),
      VLOOKUP(INDEX(SPLIT(O200,"" ""),1),{""jan."",1;""Feb"",2;""mar."",3;""Apr"",4;""May"",5;""jun."",6;""jul."",7;""Aug"",8;""sep"",9;""Oct"",10;""nov."",11;""Dec"",12},2,FALSE),
      INDEX(S"&amp;"PLIT(O200,"" ""),2)
    ),
    ""dd/mm/yyyy""
  ),
"""")"),"18/12/2024")</f>
        <v>18/12/2024</v>
      </c>
    </row>
    <row r="201">
      <c r="A201" s="85" t="s">
        <v>1533</v>
      </c>
      <c r="B201" s="85" t="s">
        <v>1534</v>
      </c>
      <c r="C201" s="90"/>
      <c r="D201" s="90"/>
      <c r="E201" s="87"/>
      <c r="F201" s="86" t="s">
        <v>86</v>
      </c>
      <c r="G201" s="86" t="s">
        <v>389</v>
      </c>
      <c r="H201" s="87"/>
      <c r="I201" s="87"/>
      <c r="J201" s="86" t="s">
        <v>389</v>
      </c>
      <c r="K201" s="86" t="s">
        <v>390</v>
      </c>
      <c r="L201" s="86" t="s">
        <v>391</v>
      </c>
      <c r="M201" s="86" t="s">
        <v>392</v>
      </c>
      <c r="N201" s="86" t="s">
        <v>1535</v>
      </c>
      <c r="O201" s="86" t="s">
        <v>1510</v>
      </c>
      <c r="P201" s="89" t="str">
        <f>IFERROR(__xludf.DUMMYFUNCTION("IFERROR(
  TEXT(
    DATE(
      INDEX(SPLIT(O201,"" ""),3),
      VLOOKUP(INDEX(SPLIT(O201,"" ""),1),{""jan."",1;""Feb"",2;""mar."",3;""Apr"",4;""May"",5;""jun."",6;""jul."",7;""Aug"",8;""sep"",9;""Oct"",10;""nov."",11;""Dec"",12},2,FALSE),
      INDEX(S"&amp;"PLIT(O201,"" ""),2)
    ),
    ""dd/mm/yyyy""
  ),
"""")"),"18/12/2024")</f>
        <v>18/12/2024</v>
      </c>
    </row>
    <row r="202">
      <c r="A202" s="85" t="s">
        <v>1536</v>
      </c>
      <c r="B202" s="85" t="s">
        <v>1537</v>
      </c>
      <c r="C202" s="90"/>
      <c r="D202" s="90"/>
      <c r="E202" s="87"/>
      <c r="F202" s="86" t="s">
        <v>86</v>
      </c>
      <c r="G202" s="86" t="s">
        <v>389</v>
      </c>
      <c r="H202" s="87"/>
      <c r="I202" s="87"/>
      <c r="J202" s="86" t="s">
        <v>389</v>
      </c>
      <c r="K202" s="86" t="s">
        <v>390</v>
      </c>
      <c r="L202" s="86" t="s">
        <v>391</v>
      </c>
      <c r="M202" s="86" t="s">
        <v>392</v>
      </c>
      <c r="N202" s="86" t="s">
        <v>1306</v>
      </c>
      <c r="O202" s="86" t="s">
        <v>1510</v>
      </c>
      <c r="P202" s="89" t="str">
        <f>IFERROR(__xludf.DUMMYFUNCTION("IFERROR(
  TEXT(
    DATE(
      INDEX(SPLIT(O202,"" ""),3),
      VLOOKUP(INDEX(SPLIT(O202,"" ""),1),{""jan."",1;""Feb"",2;""mar."",3;""Apr"",4;""May"",5;""jun."",6;""jul."",7;""Aug"",8;""sep"",9;""Oct"",10;""nov."",11;""Dec"",12},2,FALSE),
      INDEX(S"&amp;"PLIT(O202,"" ""),2)
    ),
    ""dd/mm/yyyy""
  ),
"""")"),"18/12/2024")</f>
        <v>18/12/2024</v>
      </c>
    </row>
    <row r="203">
      <c r="A203" s="85" t="s">
        <v>1538</v>
      </c>
      <c r="B203" s="85" t="s">
        <v>1539</v>
      </c>
      <c r="C203" s="90"/>
      <c r="D203" s="90"/>
      <c r="E203" s="87"/>
      <c r="F203" s="86" t="s">
        <v>86</v>
      </c>
      <c r="G203" s="86" t="s">
        <v>389</v>
      </c>
      <c r="H203" s="87"/>
      <c r="I203" s="87"/>
      <c r="J203" s="86" t="s">
        <v>389</v>
      </c>
      <c r="K203" s="86" t="s">
        <v>390</v>
      </c>
      <c r="L203" s="86" t="s">
        <v>391</v>
      </c>
      <c r="M203" s="86" t="s">
        <v>392</v>
      </c>
      <c r="N203" s="86" t="s">
        <v>1281</v>
      </c>
      <c r="O203" s="86" t="s">
        <v>1510</v>
      </c>
      <c r="P203" s="89" t="str">
        <f>IFERROR(__xludf.DUMMYFUNCTION("IFERROR(
  TEXT(
    DATE(
      INDEX(SPLIT(O203,"" ""),3),
      VLOOKUP(INDEX(SPLIT(O203,"" ""),1),{""jan."",1;""Feb"",2;""mar."",3;""Apr"",4;""May"",5;""jun."",6;""jul."",7;""Aug"",8;""sep"",9;""Oct"",10;""nov."",11;""Dec"",12},2,FALSE),
      INDEX(S"&amp;"PLIT(O203,"" ""),2)
    ),
    ""dd/mm/yyyy""
  ),
"""")"),"18/12/2024")</f>
        <v>18/12/2024</v>
      </c>
    </row>
    <row r="204">
      <c r="A204" s="85" t="s">
        <v>1540</v>
      </c>
      <c r="B204" s="85" t="s">
        <v>1541</v>
      </c>
      <c r="C204" s="86" t="s">
        <v>937</v>
      </c>
      <c r="D204" s="86" t="s">
        <v>388</v>
      </c>
      <c r="E204" s="87"/>
      <c r="F204" s="86" t="s">
        <v>253</v>
      </c>
      <c r="G204" s="86" t="s">
        <v>389</v>
      </c>
      <c r="H204" s="87"/>
      <c r="I204" s="87"/>
      <c r="J204" s="86" t="s">
        <v>389</v>
      </c>
      <c r="K204" s="86" t="s">
        <v>390</v>
      </c>
      <c r="L204" s="86" t="s">
        <v>391</v>
      </c>
      <c r="M204" s="86" t="s">
        <v>392</v>
      </c>
      <c r="N204" s="86" t="s">
        <v>1542</v>
      </c>
      <c r="O204" s="88">
        <v>45965.61388888889</v>
      </c>
      <c r="P204" s="89" t="str">
        <f>IFERROR(__xludf.DUMMYFUNCTION("IFERROR(
  TEXT(
    DATE(
      INDEX(SPLIT(O204,"" ""),3),
      VLOOKUP(INDEX(SPLIT(O204,"" ""),1),{""jan."",1;""Feb"",2;""mar."",3;""Apr"",4;""May"",5;""jun."",6;""jul."",7;""Aug"",8;""sep"",9;""Oct"",10;""nov."",11;""Dec"",12},2,FALSE),
      INDEX(S"&amp;"PLIT(O204,"" ""),2)
    ),
    ""dd/mm/yyyy""
  ),
"""")"),"04/11/2025")</f>
        <v>04/11/2025</v>
      </c>
    </row>
    <row r="205">
      <c r="A205" s="85" t="s">
        <v>1543</v>
      </c>
      <c r="B205" s="85" t="s">
        <v>1544</v>
      </c>
      <c r="C205" s="86" t="s">
        <v>937</v>
      </c>
      <c r="D205" s="86" t="s">
        <v>388</v>
      </c>
      <c r="E205" s="87"/>
      <c r="F205" s="86" t="s">
        <v>339</v>
      </c>
      <c r="G205" s="86" t="s">
        <v>389</v>
      </c>
      <c r="H205" s="87"/>
      <c r="I205" s="87"/>
      <c r="J205" s="86" t="s">
        <v>389</v>
      </c>
      <c r="K205" s="86" t="s">
        <v>390</v>
      </c>
      <c r="L205" s="86" t="s">
        <v>391</v>
      </c>
      <c r="M205" s="86" t="s">
        <v>392</v>
      </c>
      <c r="N205" s="86" t="s">
        <v>1545</v>
      </c>
      <c r="O205" s="88">
        <v>45973.62222222222</v>
      </c>
      <c r="P205" s="89" t="str">
        <f>IFERROR(__xludf.DUMMYFUNCTION("IFERROR(
  TEXT(
    DATE(
      INDEX(SPLIT(O205,"" ""),3),
      VLOOKUP(INDEX(SPLIT(O205,"" ""),1),{""jan."",1;""Feb"",2;""mar."",3;""Apr"",4;""May"",5;""jun."",6;""jul."",7;""Aug"",8;""sep"",9;""Oct"",10;""nov."",11;""Dec"",12},2,FALSE),
      INDEX(S"&amp;"PLIT(O205,"" ""),2)
    ),
    ""dd/mm/yyyy""
  ),
"""")"),"12/11/2025")</f>
        <v>12/11/2025</v>
      </c>
    </row>
    <row r="206">
      <c r="A206" s="85" t="s">
        <v>1546</v>
      </c>
      <c r="B206" s="85" t="s">
        <v>1547</v>
      </c>
      <c r="C206" s="86" t="s">
        <v>937</v>
      </c>
      <c r="D206" s="86" t="s">
        <v>388</v>
      </c>
      <c r="E206" s="87"/>
      <c r="F206" s="86" t="s">
        <v>253</v>
      </c>
      <c r="G206" s="86" t="s">
        <v>389</v>
      </c>
      <c r="H206" s="87"/>
      <c r="I206" s="87"/>
      <c r="J206" s="86" t="s">
        <v>389</v>
      </c>
      <c r="K206" s="86" t="s">
        <v>390</v>
      </c>
      <c r="L206" s="86" t="s">
        <v>391</v>
      </c>
      <c r="M206" s="86" t="s">
        <v>392</v>
      </c>
      <c r="N206" s="86" t="s">
        <v>1548</v>
      </c>
      <c r="O206" s="88">
        <v>45973.63125</v>
      </c>
      <c r="P206" s="89" t="str">
        <f>IFERROR(__xludf.DUMMYFUNCTION("IFERROR(
  TEXT(
    DATE(
      INDEX(SPLIT(O206,"" ""),3),
      VLOOKUP(INDEX(SPLIT(O206,"" ""),1),{""jan."",1;""Feb"",2;""mar."",3;""Apr"",4;""May"",5;""jun."",6;""jul."",7;""Aug"",8;""sep"",9;""Oct"",10;""nov."",11;""Dec"",12},2,FALSE),
      INDEX(S"&amp;"PLIT(O206,"" ""),2)
    ),
    ""dd/mm/yyyy""
  ),
"""")"),"12/11/2025")</f>
        <v>12/11/2025</v>
      </c>
    </row>
    <row r="207">
      <c r="A207" s="85" t="s">
        <v>1549</v>
      </c>
      <c r="B207" s="85" t="s">
        <v>1550</v>
      </c>
      <c r="C207" s="86" t="s">
        <v>937</v>
      </c>
      <c r="D207" s="86" t="s">
        <v>388</v>
      </c>
      <c r="E207" s="87"/>
      <c r="F207" s="86" t="s">
        <v>253</v>
      </c>
      <c r="G207" s="86" t="s">
        <v>389</v>
      </c>
      <c r="H207" s="87"/>
      <c r="I207" s="87"/>
      <c r="J207" s="86" t="s">
        <v>389</v>
      </c>
      <c r="K207" s="86" t="s">
        <v>390</v>
      </c>
      <c r="L207" s="86" t="s">
        <v>391</v>
      </c>
      <c r="M207" s="86" t="s">
        <v>392</v>
      </c>
      <c r="N207" s="86" t="s">
        <v>1551</v>
      </c>
      <c r="O207" s="88">
        <v>45973.62847222222</v>
      </c>
      <c r="P207" s="89" t="str">
        <f>IFERROR(__xludf.DUMMYFUNCTION("IFERROR(
  TEXT(
    DATE(
      INDEX(SPLIT(O207,"" ""),3),
      VLOOKUP(INDEX(SPLIT(O207,"" ""),1),{""jan."",1;""Feb"",2;""mar."",3;""Apr"",4;""May"",5;""jun."",6;""jul."",7;""Aug"",8;""sep"",9;""Oct"",10;""nov."",11;""Dec"",12},2,FALSE),
      INDEX(S"&amp;"PLIT(O207,"" ""),2)
    ),
    ""dd/mm/yyyy""
  ),
"""")"),"12/11/2025")</f>
        <v>12/11/2025</v>
      </c>
    </row>
    <row r="208">
      <c r="A208" s="85" t="s">
        <v>1552</v>
      </c>
      <c r="B208" s="85" t="s">
        <v>1553</v>
      </c>
      <c r="C208" s="86" t="s">
        <v>937</v>
      </c>
      <c r="D208" s="86" t="s">
        <v>388</v>
      </c>
      <c r="E208" s="87"/>
      <c r="F208" s="86" t="s">
        <v>339</v>
      </c>
      <c r="G208" s="86" t="s">
        <v>389</v>
      </c>
      <c r="H208" s="87"/>
      <c r="I208" s="87"/>
      <c r="J208" s="86" t="s">
        <v>389</v>
      </c>
      <c r="K208" s="86" t="s">
        <v>390</v>
      </c>
      <c r="L208" s="86" t="s">
        <v>391</v>
      </c>
      <c r="M208" s="86" t="s">
        <v>392</v>
      </c>
      <c r="N208" s="86" t="s">
        <v>1554</v>
      </c>
      <c r="O208" s="86" t="s">
        <v>1555</v>
      </c>
      <c r="P208" s="89" t="str">
        <f>IFERROR(__xludf.DUMMYFUNCTION("IFERROR(
  TEXT(
    DATE(
      INDEX(SPLIT(O208,"" ""),3),
      VLOOKUP(INDEX(SPLIT(O208,"" ""),1),{""jan."",1;""Feb"",2;""mar."",3;""Apr"",4;""May"",5;""jun."",6;""jul."",7;""Aug"",8;""sep"",9;""Oct"",10;""nov."",11;""Dec"",12},2,FALSE),
      INDEX(S"&amp;"PLIT(O208,"" ""),2)
    ),
    ""dd/mm/yyyy""
  ),
"""")"),"17/12/2025")</f>
        <v>17/12/2025</v>
      </c>
    </row>
    <row r="209">
      <c r="A209" s="85" t="s">
        <v>1556</v>
      </c>
      <c r="B209" s="85" t="s">
        <v>1557</v>
      </c>
      <c r="C209" s="86" t="s">
        <v>937</v>
      </c>
      <c r="D209" s="86" t="s">
        <v>388</v>
      </c>
      <c r="E209" s="87"/>
      <c r="F209" s="86" t="s">
        <v>253</v>
      </c>
      <c r="G209" s="86" t="s">
        <v>389</v>
      </c>
      <c r="H209" s="87"/>
      <c r="I209" s="87"/>
      <c r="J209" s="86" t="s">
        <v>389</v>
      </c>
      <c r="K209" s="86" t="s">
        <v>390</v>
      </c>
      <c r="L209" s="86" t="s">
        <v>391</v>
      </c>
      <c r="M209" s="86" t="s">
        <v>392</v>
      </c>
      <c r="N209" s="86" t="s">
        <v>1558</v>
      </c>
      <c r="O209" s="88">
        <v>45973.63402777778</v>
      </c>
      <c r="P209" s="89" t="str">
        <f>IFERROR(__xludf.DUMMYFUNCTION("IFERROR(
  TEXT(
    DATE(
      INDEX(SPLIT(O209,"" ""),3),
      VLOOKUP(INDEX(SPLIT(O209,"" ""),1),{""jan."",1;""Feb"",2;""mar."",3;""Apr"",4;""May"",5;""jun."",6;""jul."",7;""Aug"",8;""sep"",9;""Oct"",10;""nov."",11;""Dec"",12},2,FALSE),
      INDEX(S"&amp;"PLIT(O209,"" ""),2)
    ),
    ""dd/mm/yyyy""
  ),
"""")"),"12/11/2025")</f>
        <v>12/11/2025</v>
      </c>
    </row>
    <row r="210">
      <c r="A210" s="85" t="s">
        <v>1559</v>
      </c>
      <c r="B210" s="85" t="s">
        <v>1560</v>
      </c>
      <c r="C210" s="86" t="s">
        <v>937</v>
      </c>
      <c r="D210" s="86" t="s">
        <v>388</v>
      </c>
      <c r="E210" s="87"/>
      <c r="F210" s="86" t="s">
        <v>339</v>
      </c>
      <c r="G210" s="86" t="s">
        <v>389</v>
      </c>
      <c r="H210" s="87"/>
      <c r="I210" s="87"/>
      <c r="J210" s="86" t="s">
        <v>389</v>
      </c>
      <c r="K210" s="86" t="s">
        <v>390</v>
      </c>
      <c r="L210" s="86" t="s">
        <v>391</v>
      </c>
      <c r="M210" s="86" t="s">
        <v>392</v>
      </c>
      <c r="N210" s="86" t="s">
        <v>1561</v>
      </c>
      <c r="O210" s="88">
        <v>45965.60972222222</v>
      </c>
      <c r="P210" s="89" t="str">
        <f>IFERROR(__xludf.DUMMYFUNCTION("IFERROR(
  TEXT(
    DATE(
      INDEX(SPLIT(O210,"" ""),3),
      VLOOKUP(INDEX(SPLIT(O210,"" ""),1),{""jan."",1;""Feb"",2;""mar."",3;""Apr"",4;""May"",5;""jun."",6;""jul."",7;""Aug"",8;""sep"",9;""Oct"",10;""nov."",11;""Dec"",12},2,FALSE),
      INDEX(S"&amp;"PLIT(O210,"" ""),2)
    ),
    ""dd/mm/yyyy""
  ),
"""")"),"04/11/2025")</f>
        <v>04/11/2025</v>
      </c>
    </row>
    <row r="211">
      <c r="A211" s="85" t="s">
        <v>1562</v>
      </c>
      <c r="B211" s="85" t="s">
        <v>1563</v>
      </c>
      <c r="C211" s="86" t="s">
        <v>937</v>
      </c>
      <c r="D211" s="86" t="s">
        <v>388</v>
      </c>
      <c r="E211" s="87"/>
      <c r="F211" s="86" t="s">
        <v>136</v>
      </c>
      <c r="G211" s="86" t="s">
        <v>389</v>
      </c>
      <c r="H211" s="87"/>
      <c r="I211" s="87"/>
      <c r="J211" s="86" t="s">
        <v>389</v>
      </c>
      <c r="K211" s="86" t="s">
        <v>390</v>
      </c>
      <c r="L211" s="86" t="s">
        <v>391</v>
      </c>
      <c r="M211" s="86" t="s">
        <v>392</v>
      </c>
      <c r="N211" s="86" t="s">
        <v>1564</v>
      </c>
      <c r="O211" s="88">
        <v>45965.61111111111</v>
      </c>
      <c r="P211" s="89" t="str">
        <f>IFERROR(__xludf.DUMMYFUNCTION("IFERROR(
  TEXT(
    DATE(
      INDEX(SPLIT(O211,"" ""),3),
      VLOOKUP(INDEX(SPLIT(O211,"" ""),1),{""jan."",1;""Feb"",2;""mar."",3;""Apr"",4;""May"",5;""jun."",6;""jul."",7;""Aug"",8;""sep"",9;""Oct"",10;""nov."",11;""Dec"",12},2,FALSE),
      INDEX(S"&amp;"PLIT(O211,"" ""),2)
    ),
    ""dd/mm/yyyy""
  ),
"""")"),"04/11/2025")</f>
        <v>04/11/2025</v>
      </c>
    </row>
    <row r="212">
      <c r="A212" s="85" t="s">
        <v>1565</v>
      </c>
      <c r="B212" s="85" t="s">
        <v>1566</v>
      </c>
      <c r="C212" s="86" t="s">
        <v>937</v>
      </c>
      <c r="D212" s="86" t="s">
        <v>388</v>
      </c>
      <c r="E212" s="87"/>
      <c r="F212" s="86" t="s">
        <v>243</v>
      </c>
      <c r="G212" s="86" t="s">
        <v>389</v>
      </c>
      <c r="H212" s="87"/>
      <c r="I212" s="87"/>
      <c r="J212" s="86" t="s">
        <v>389</v>
      </c>
      <c r="K212" s="86" t="s">
        <v>390</v>
      </c>
      <c r="L212" s="86" t="s">
        <v>391</v>
      </c>
      <c r="M212" s="86" t="s">
        <v>392</v>
      </c>
      <c r="N212" s="86" t="s">
        <v>1567</v>
      </c>
      <c r="O212" s="86" t="s">
        <v>1568</v>
      </c>
      <c r="P212" s="89" t="str">
        <f>IFERROR(__xludf.DUMMYFUNCTION("IFERROR(
  TEXT(
    DATE(
      INDEX(SPLIT(O212,"" ""),3),
      VLOOKUP(INDEX(SPLIT(O212,"" ""),1),{""jan."",1;""Feb"",2;""mar."",3;""Apr"",4;""May"",5;""jun."",6;""jul."",7;""Aug"",8;""sep"",9;""Oct"",10;""nov."",11;""Dec"",12},2,FALSE),
      INDEX(S"&amp;"PLIT(O212,"" ""),2)
    ),
    ""dd/mm/yyyy""
  ),
"""")"),"13/02/2026")</f>
        <v>13/02/2026</v>
      </c>
    </row>
    <row r="213">
      <c r="A213" s="85" t="s">
        <v>1569</v>
      </c>
      <c r="B213" s="85" t="s">
        <v>1570</v>
      </c>
      <c r="C213" s="90"/>
      <c r="D213" s="90"/>
      <c r="E213" s="87"/>
      <c r="F213" s="86" t="s">
        <v>243</v>
      </c>
      <c r="G213" s="86" t="s">
        <v>389</v>
      </c>
      <c r="H213" s="87"/>
      <c r="I213" s="87"/>
      <c r="J213" s="86" t="s">
        <v>389</v>
      </c>
      <c r="K213" s="86" t="s">
        <v>390</v>
      </c>
      <c r="L213" s="86" t="s">
        <v>391</v>
      </c>
      <c r="M213" s="86" t="s">
        <v>392</v>
      </c>
      <c r="N213" s="86" t="s">
        <v>1571</v>
      </c>
      <c r="O213" s="86" t="s">
        <v>1572</v>
      </c>
      <c r="P213" s="89" t="str">
        <f>IFERROR(__xludf.DUMMYFUNCTION("IFERROR(
  TEXT(
    DATE(
      INDEX(SPLIT(O213,"" ""),3),
      VLOOKUP(INDEX(SPLIT(O213,"" ""),1),{""jan."",1;""Feb"",2;""mar."",3;""Apr"",4;""May"",5;""jun."",6;""jul."",7;""Aug"",8;""sep"",9;""Oct"",10;""nov."",11;""Dec"",12},2,FALSE),
      INDEX(S"&amp;"PLIT(O213,"" ""),2)
    ),
    ""dd/mm/yyyy""
  ),
"""")"),"22/04/2026")</f>
        <v>22/04/2026</v>
      </c>
    </row>
    <row r="214">
      <c r="A214" s="85" t="s">
        <v>1573</v>
      </c>
      <c r="B214" s="85" t="s">
        <v>1574</v>
      </c>
      <c r="C214" s="90"/>
      <c r="D214" s="90"/>
      <c r="E214" s="87"/>
      <c r="F214" s="86" t="s">
        <v>180</v>
      </c>
      <c r="G214" s="86" t="s">
        <v>389</v>
      </c>
      <c r="H214" s="87"/>
      <c r="I214" s="87"/>
      <c r="J214" s="86" t="s">
        <v>389</v>
      </c>
      <c r="K214" s="86" t="s">
        <v>390</v>
      </c>
      <c r="L214" s="86" t="s">
        <v>391</v>
      </c>
      <c r="M214" s="86" t="s">
        <v>392</v>
      </c>
      <c r="N214" s="86" t="s">
        <v>1575</v>
      </c>
      <c r="O214" s="86" t="s">
        <v>1576</v>
      </c>
      <c r="P214" s="89" t="str">
        <f>IFERROR(__xludf.DUMMYFUNCTION("IFERROR(
  TEXT(
    DATE(
      INDEX(SPLIT(O214,"" ""),3),
      VLOOKUP(INDEX(SPLIT(O214,"" ""),1),{""jan."",1;""Feb"",2;""mar."",3;""Apr"",4;""May"",5;""jun."",6;""jul."",7;""Aug"",8;""sep"",9;""Oct"",10;""nov."",11;""Dec"",12},2,FALSE),
      INDEX(S"&amp;"PLIT(O214,"" ""),2)
    ),
    ""dd/mm/yyyy""
  ),
"""")"),"12/05/2026")</f>
        <v>12/05/2026</v>
      </c>
    </row>
    <row r="215">
      <c r="A215" s="85" t="s">
        <v>1577</v>
      </c>
      <c r="B215" s="85" t="s">
        <v>1578</v>
      </c>
      <c r="C215" s="90"/>
      <c r="D215" s="90"/>
      <c r="E215" s="87"/>
      <c r="F215" s="86" t="s">
        <v>117</v>
      </c>
      <c r="G215" s="86" t="s">
        <v>389</v>
      </c>
      <c r="H215" s="87"/>
      <c r="I215" s="87"/>
      <c r="J215" s="86" t="s">
        <v>389</v>
      </c>
      <c r="K215" s="86" t="s">
        <v>390</v>
      </c>
      <c r="L215" s="86" t="s">
        <v>391</v>
      </c>
      <c r="M215" s="86" t="s">
        <v>392</v>
      </c>
      <c r="N215" s="86" t="s">
        <v>1579</v>
      </c>
      <c r="O215" s="86" t="s">
        <v>1580</v>
      </c>
      <c r="P215" s="89" t="str">
        <f>IFERROR(__xludf.DUMMYFUNCTION("IFERROR(
  TEXT(
    DATE(
      INDEX(SPLIT(O215,"" ""),3),
      VLOOKUP(INDEX(SPLIT(O215,"" ""),1),{""jan."",1;""Feb"",2;""mar."",3;""Apr"",4;""May"",5;""jun."",6;""jul."",7;""Aug"",8;""sep"",9;""Oct"",10;""nov."",11;""Dec"",12},2,FALSE),
      INDEX(S"&amp;"PLIT(O215,"" ""),2)
    ),
    ""dd/mm/yyyy""
  ),
"""")"),"28/04/2026")</f>
        <v>28/04/2026</v>
      </c>
    </row>
    <row r="216">
      <c r="A216" s="85" t="s">
        <v>1581</v>
      </c>
      <c r="B216" s="85" t="s">
        <v>1582</v>
      </c>
      <c r="C216" s="90"/>
      <c r="D216" s="90"/>
      <c r="E216" s="87"/>
      <c r="F216" s="86" t="s">
        <v>1033</v>
      </c>
      <c r="G216" s="86" t="s">
        <v>389</v>
      </c>
      <c r="H216" s="87"/>
      <c r="I216" s="87"/>
      <c r="J216" s="86" t="s">
        <v>389</v>
      </c>
      <c r="K216" s="86" t="s">
        <v>390</v>
      </c>
      <c r="L216" s="86" t="s">
        <v>391</v>
      </c>
      <c r="M216" s="86" t="s">
        <v>392</v>
      </c>
      <c r="N216" s="86" t="s">
        <v>666</v>
      </c>
      <c r="O216" s="86" t="s">
        <v>1576</v>
      </c>
      <c r="P216" s="89" t="str">
        <f>IFERROR(__xludf.DUMMYFUNCTION("IFERROR(
  TEXT(
    DATE(
      INDEX(SPLIT(O216,"" ""),3),
      VLOOKUP(INDEX(SPLIT(O216,"" ""),1),{""jan."",1;""Feb"",2;""mar."",3;""Apr"",4;""May"",5;""jun."",6;""jul."",7;""Aug"",8;""sep"",9;""Oct"",10;""nov."",11;""Dec"",12},2,FALSE),
      INDEX(S"&amp;"PLIT(O216,"" ""),2)
    ),
    ""dd/mm/yyyy""
  ),
"""")"),"12/05/2026")</f>
        <v>12/05/2026</v>
      </c>
    </row>
    <row r="217">
      <c r="A217" s="85" t="s">
        <v>1583</v>
      </c>
      <c r="B217" s="85" t="s">
        <v>1584</v>
      </c>
      <c r="C217" s="90"/>
      <c r="D217" s="90"/>
      <c r="E217" s="87"/>
      <c r="F217" s="86" t="s">
        <v>86</v>
      </c>
      <c r="G217" s="86" t="s">
        <v>389</v>
      </c>
      <c r="H217" s="87"/>
      <c r="I217" s="87"/>
      <c r="J217" s="86" t="s">
        <v>389</v>
      </c>
      <c r="K217" s="86" t="s">
        <v>390</v>
      </c>
      <c r="L217" s="86" t="s">
        <v>391</v>
      </c>
      <c r="M217" s="86" t="s">
        <v>392</v>
      </c>
      <c r="N217" s="86" t="s">
        <v>1585</v>
      </c>
      <c r="O217" s="86" t="s">
        <v>1586</v>
      </c>
      <c r="P217" s="89" t="str">
        <f>IFERROR(__xludf.DUMMYFUNCTION("IFERROR(
  TEXT(
    DATE(
      INDEX(SPLIT(O217,"" ""),3),
      VLOOKUP(INDEX(SPLIT(O217,"" ""),1),{""jan."",1;""Feb"",2;""mar."",3;""Apr"",4;""May"",5;""jun."",6;""jul."",7;""Aug"",8;""sep"",9;""Oct"",10;""nov."",11;""Dec"",12},2,FALSE),
      INDEX(S"&amp;"PLIT(O217,"" ""),2)
    ),
    ""dd/mm/yyyy""
  ),
"""")"),"05/05/2026")</f>
        <v>05/05/2026</v>
      </c>
    </row>
    <row r="218">
      <c r="A218" s="85" t="s">
        <v>1587</v>
      </c>
      <c r="B218" s="85" t="s">
        <v>1588</v>
      </c>
      <c r="C218" s="90"/>
      <c r="D218" s="90"/>
      <c r="E218" s="87"/>
      <c r="F218" s="86" t="s">
        <v>86</v>
      </c>
      <c r="G218" s="86" t="s">
        <v>389</v>
      </c>
      <c r="H218" s="87"/>
      <c r="I218" s="87"/>
      <c r="J218" s="86" t="s">
        <v>389</v>
      </c>
      <c r="K218" s="86" t="s">
        <v>390</v>
      </c>
      <c r="L218" s="86" t="s">
        <v>391</v>
      </c>
      <c r="M218" s="86" t="s">
        <v>392</v>
      </c>
      <c r="N218" s="86" t="s">
        <v>1589</v>
      </c>
      <c r="O218" s="86" t="s">
        <v>1590</v>
      </c>
      <c r="P218" s="89" t="str">
        <f>IFERROR(__xludf.DUMMYFUNCTION("IFERROR(
  TEXT(
    DATE(
      INDEX(SPLIT(O218,"" ""),3),
      VLOOKUP(INDEX(SPLIT(O218,"" ""),1),{""jan."",1;""Feb"",2;""mar."",3;""Apr"",4;""May"",5;""jun."",6;""jul."",7;""Aug"",8;""sep"",9;""Oct"",10;""nov."",11;""Dec"",12},2,FALSE),
      INDEX(S"&amp;"PLIT(O218,"" ""),2)
    ),
    ""dd/mm/yyyy""
  ),
"""")"),"05/05/2026")</f>
        <v>05/05/2026</v>
      </c>
    </row>
    <row r="219">
      <c r="A219" s="85" t="s">
        <v>1591</v>
      </c>
      <c r="B219" s="85" t="s">
        <v>1592</v>
      </c>
      <c r="C219" s="86" t="s">
        <v>937</v>
      </c>
      <c r="D219" s="86" t="s">
        <v>388</v>
      </c>
      <c r="E219" s="87"/>
      <c r="F219" s="86" t="s">
        <v>243</v>
      </c>
      <c r="G219" s="86" t="s">
        <v>389</v>
      </c>
      <c r="H219" s="87"/>
      <c r="I219" s="87"/>
      <c r="J219" s="86" t="s">
        <v>389</v>
      </c>
      <c r="K219" s="86" t="s">
        <v>390</v>
      </c>
      <c r="L219" s="86" t="s">
        <v>391</v>
      </c>
      <c r="M219" s="86" t="s">
        <v>392</v>
      </c>
      <c r="N219" s="86" t="s">
        <v>1593</v>
      </c>
      <c r="O219" s="86" t="s">
        <v>1594</v>
      </c>
      <c r="P219" s="89" t="str">
        <f>IFERROR(__xludf.DUMMYFUNCTION("IFERROR(
  TEXT(
    DATE(
      INDEX(SPLIT(O219,"" ""),3),
      VLOOKUP(INDEX(SPLIT(O219,"" ""),1),{""jan."",1;""Feb"",2;""mar."",3;""Apr"",4;""May"",5;""jun."",6;""jul."",7;""Aug"",8;""sep"",9;""Oct"",10;""nov."",11;""Dec"",12},2,FALSE),
      INDEX(S"&amp;"PLIT(O219,"" ""),2)
    ),
    ""dd/mm/yyyy""
  ),
"""")"),"22/04/2026")</f>
        <v>22/04/2026</v>
      </c>
    </row>
    <row r="220">
      <c r="A220" s="85" t="s">
        <v>1595</v>
      </c>
      <c r="B220" s="85" t="s">
        <v>1596</v>
      </c>
      <c r="C220" s="86" t="s">
        <v>937</v>
      </c>
      <c r="D220" s="86" t="s">
        <v>388</v>
      </c>
      <c r="E220" s="87"/>
      <c r="F220" s="86" t="s">
        <v>180</v>
      </c>
      <c r="G220" s="86" t="s">
        <v>389</v>
      </c>
      <c r="H220" s="87"/>
      <c r="I220" s="87"/>
      <c r="J220" s="86" t="s">
        <v>389</v>
      </c>
      <c r="K220" s="86" t="s">
        <v>390</v>
      </c>
      <c r="L220" s="86" t="s">
        <v>391</v>
      </c>
      <c r="M220" s="86" t="s">
        <v>392</v>
      </c>
      <c r="N220" s="86" t="s">
        <v>598</v>
      </c>
      <c r="O220" s="86" t="s">
        <v>1597</v>
      </c>
      <c r="P220" s="89" t="str">
        <f>IFERROR(__xludf.DUMMYFUNCTION("IFERROR(
  TEXT(
    DATE(
      INDEX(SPLIT(O220,"" ""),3),
      VLOOKUP(INDEX(SPLIT(O220,"" ""),1),{""jan."",1;""Feb"",2;""mar."",3;""Apr"",4;""May"",5;""jun."",6;""jul."",7;""Aug"",8;""sep"",9;""Oct"",10;""nov."",11;""Dec"",12},2,FALSE),
      INDEX(S"&amp;"PLIT(O220,"" ""),2)
    ),
    ""dd/mm/yyyy""
  ),
"""")"),"12/05/2026")</f>
        <v>12/05/2026</v>
      </c>
    </row>
    <row r="221">
      <c r="A221" s="85" t="s">
        <v>1598</v>
      </c>
      <c r="B221" s="85" t="s">
        <v>1599</v>
      </c>
      <c r="C221" s="86" t="s">
        <v>937</v>
      </c>
      <c r="D221" s="86" t="s">
        <v>388</v>
      </c>
      <c r="E221" s="87"/>
      <c r="F221" s="86" t="s">
        <v>117</v>
      </c>
      <c r="G221" s="86" t="s">
        <v>389</v>
      </c>
      <c r="H221" s="87"/>
      <c r="I221" s="87"/>
      <c r="J221" s="86" t="s">
        <v>389</v>
      </c>
      <c r="K221" s="86" t="s">
        <v>390</v>
      </c>
      <c r="L221" s="86" t="s">
        <v>391</v>
      </c>
      <c r="M221" s="86" t="s">
        <v>392</v>
      </c>
      <c r="N221" s="86" t="s">
        <v>464</v>
      </c>
      <c r="O221" s="86" t="s">
        <v>1600</v>
      </c>
      <c r="P221" s="89" t="str">
        <f>IFERROR(__xludf.DUMMYFUNCTION("IFERROR(
  TEXT(
    DATE(
      INDEX(SPLIT(O221,"" ""),3),
      VLOOKUP(INDEX(SPLIT(O221,"" ""),1),{""jan."",1;""Feb"",2;""mar."",3;""Apr"",4;""May"",5;""jun."",6;""jul."",7;""Aug"",8;""sep"",9;""Oct"",10;""nov."",11;""Dec"",12},2,FALSE),
      INDEX(S"&amp;"PLIT(O221,"" ""),2)
    ),
    ""dd/mm/yyyy""
  ),
"""")"),"28/04/2026")</f>
        <v>28/04/2026</v>
      </c>
    </row>
    <row r="222">
      <c r="A222" s="85" t="s">
        <v>1601</v>
      </c>
      <c r="B222" s="85" t="s">
        <v>1602</v>
      </c>
      <c r="C222" s="86" t="s">
        <v>937</v>
      </c>
      <c r="D222" s="86" t="s">
        <v>388</v>
      </c>
      <c r="E222" s="87"/>
      <c r="F222" s="86" t="s">
        <v>1033</v>
      </c>
      <c r="G222" s="86" t="s">
        <v>389</v>
      </c>
      <c r="H222" s="87"/>
      <c r="I222" s="87"/>
      <c r="J222" s="86" t="s">
        <v>389</v>
      </c>
      <c r="K222" s="86" t="s">
        <v>390</v>
      </c>
      <c r="L222" s="86" t="s">
        <v>391</v>
      </c>
      <c r="M222" s="86" t="s">
        <v>392</v>
      </c>
      <c r="N222" s="86" t="s">
        <v>1603</v>
      </c>
      <c r="O222" s="86" t="s">
        <v>1576</v>
      </c>
      <c r="P222" s="89" t="str">
        <f>IFERROR(__xludf.DUMMYFUNCTION("IFERROR(
  TEXT(
    DATE(
      INDEX(SPLIT(O222,"" ""),3),
      VLOOKUP(INDEX(SPLIT(O222,"" ""),1),{""jan."",1;""Feb"",2;""mar."",3;""Apr"",4;""May"",5;""jun."",6;""jul."",7;""Aug"",8;""sep"",9;""Oct"",10;""nov."",11;""Dec"",12},2,FALSE),
      INDEX(S"&amp;"PLIT(O222,"" ""),2)
    ),
    ""dd/mm/yyyy""
  ),
"""")"),"12/05/2026")</f>
        <v>12/05/2026</v>
      </c>
    </row>
    <row r="223">
      <c r="A223" s="85" t="s">
        <v>1604</v>
      </c>
      <c r="B223" s="85" t="s">
        <v>1605</v>
      </c>
      <c r="C223" s="86" t="s">
        <v>937</v>
      </c>
      <c r="D223" s="86" t="s">
        <v>388</v>
      </c>
      <c r="E223" s="87"/>
      <c r="F223" s="86" t="s">
        <v>86</v>
      </c>
      <c r="G223" s="86" t="s">
        <v>389</v>
      </c>
      <c r="H223" s="87"/>
      <c r="I223" s="87"/>
      <c r="J223" s="86" t="s">
        <v>389</v>
      </c>
      <c r="K223" s="86" t="s">
        <v>390</v>
      </c>
      <c r="L223" s="86" t="s">
        <v>391</v>
      </c>
      <c r="M223" s="86" t="s">
        <v>392</v>
      </c>
      <c r="N223" s="86" t="s">
        <v>1606</v>
      </c>
      <c r="O223" s="86" t="s">
        <v>1607</v>
      </c>
      <c r="P223" s="89" t="str">
        <f>IFERROR(__xludf.DUMMYFUNCTION("IFERROR(
  TEXT(
    DATE(
      INDEX(SPLIT(O223,"" ""),3),
      VLOOKUP(INDEX(SPLIT(O223,"" ""),1),{""jan."",1;""Feb"",2;""mar."",3;""Apr"",4;""May"",5;""jun."",6;""jul."",7;""Aug"",8;""sep"",9;""Oct"",10;""nov."",11;""Dec"",12},2,FALSE),
      INDEX(S"&amp;"PLIT(O223,"" ""),2)
    ),
    ""dd/mm/yyyy""
  ),
"""")"),"05/05/2026")</f>
        <v>05/05/2026</v>
      </c>
    </row>
    <row r="224">
      <c r="A224" s="85" t="s">
        <v>1608</v>
      </c>
      <c r="B224" s="85" t="s">
        <v>1609</v>
      </c>
      <c r="C224" s="86" t="s">
        <v>937</v>
      </c>
      <c r="D224" s="86" t="s">
        <v>388</v>
      </c>
      <c r="E224" s="87"/>
      <c r="F224" s="86" t="s">
        <v>86</v>
      </c>
      <c r="G224" s="86" t="s">
        <v>389</v>
      </c>
      <c r="H224" s="87"/>
      <c r="I224" s="87"/>
      <c r="J224" s="86" t="s">
        <v>389</v>
      </c>
      <c r="K224" s="86" t="s">
        <v>390</v>
      </c>
      <c r="L224" s="86" t="s">
        <v>391</v>
      </c>
      <c r="M224" s="86" t="s">
        <v>392</v>
      </c>
      <c r="N224" s="86" t="s">
        <v>1610</v>
      </c>
      <c r="O224" s="86" t="s">
        <v>1590</v>
      </c>
      <c r="P224" s="89" t="str">
        <f>IFERROR(__xludf.DUMMYFUNCTION("IFERROR(
  TEXT(
    DATE(
      INDEX(SPLIT(O224,"" ""),3),
      VLOOKUP(INDEX(SPLIT(O224,"" ""),1),{""jan."",1;""Feb"",2;""mar."",3;""Apr"",4;""May"",5;""jun."",6;""jul."",7;""Aug"",8;""sep"",9;""Oct"",10;""nov."",11;""Dec"",12},2,FALSE),
      INDEX(S"&amp;"PLIT(O224,"" ""),2)
    ),
    ""dd/mm/yyyy""
  ),
"""")"),"05/05/2026")</f>
        <v>05/05/2026</v>
      </c>
    </row>
  </sheetData>
  <autoFilter ref="$A$1:$P$224"/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A76"/>
    <hyperlink r:id="rId150" ref="B76"/>
    <hyperlink r:id="rId151" ref="A77"/>
    <hyperlink r:id="rId152" ref="B77"/>
    <hyperlink r:id="rId153" ref="A78"/>
    <hyperlink r:id="rId154" ref="B78"/>
    <hyperlink r:id="rId155" ref="A79"/>
    <hyperlink r:id="rId156" ref="B79"/>
    <hyperlink r:id="rId157" ref="A80"/>
    <hyperlink r:id="rId158" ref="B80"/>
    <hyperlink r:id="rId159" ref="A81"/>
    <hyperlink r:id="rId160" ref="B81"/>
    <hyperlink r:id="rId161" ref="A82"/>
    <hyperlink r:id="rId162" ref="B82"/>
    <hyperlink r:id="rId163" ref="A83"/>
    <hyperlink r:id="rId164" ref="B83"/>
    <hyperlink r:id="rId165" ref="A84"/>
    <hyperlink r:id="rId166" ref="B84"/>
    <hyperlink r:id="rId167" ref="A85"/>
    <hyperlink r:id="rId168" ref="B85"/>
    <hyperlink r:id="rId169" ref="A86"/>
    <hyperlink r:id="rId170" ref="B86"/>
    <hyperlink r:id="rId171" ref="A87"/>
    <hyperlink r:id="rId172" ref="B87"/>
    <hyperlink r:id="rId173" ref="A88"/>
    <hyperlink r:id="rId174" ref="B88"/>
    <hyperlink r:id="rId175" ref="A89"/>
    <hyperlink r:id="rId176" ref="B89"/>
    <hyperlink r:id="rId177" ref="A90"/>
    <hyperlink r:id="rId178" ref="B90"/>
    <hyperlink r:id="rId179" ref="A91"/>
    <hyperlink r:id="rId180" ref="B91"/>
    <hyperlink r:id="rId181" ref="A92"/>
    <hyperlink r:id="rId182" ref="B92"/>
    <hyperlink r:id="rId183" ref="A93"/>
    <hyperlink r:id="rId184" ref="B93"/>
    <hyperlink r:id="rId185" ref="A94"/>
    <hyperlink r:id="rId186" ref="B94"/>
    <hyperlink r:id="rId187" ref="A95"/>
    <hyperlink r:id="rId188" ref="B95"/>
    <hyperlink r:id="rId189" ref="A96"/>
    <hyperlink r:id="rId190" ref="B96"/>
    <hyperlink r:id="rId191" ref="A97"/>
    <hyperlink r:id="rId192" ref="B97"/>
    <hyperlink r:id="rId193" ref="A98"/>
    <hyperlink r:id="rId194" ref="B98"/>
    <hyperlink r:id="rId195" ref="A99"/>
    <hyperlink r:id="rId196" ref="B99"/>
    <hyperlink r:id="rId197" ref="A100"/>
    <hyperlink r:id="rId198" ref="B100"/>
    <hyperlink r:id="rId199" ref="A101"/>
    <hyperlink r:id="rId200" ref="B101"/>
    <hyperlink r:id="rId201" ref="A102"/>
    <hyperlink r:id="rId202" ref="B102"/>
    <hyperlink r:id="rId203" ref="A103"/>
    <hyperlink r:id="rId204" ref="B103"/>
    <hyperlink r:id="rId205" ref="A104"/>
    <hyperlink r:id="rId206" ref="B104"/>
    <hyperlink r:id="rId207" ref="A105"/>
    <hyperlink r:id="rId208" ref="B105"/>
    <hyperlink r:id="rId209" ref="A106"/>
    <hyperlink r:id="rId210" ref="B106"/>
    <hyperlink r:id="rId211" ref="A107"/>
    <hyperlink r:id="rId212" ref="B107"/>
    <hyperlink r:id="rId213" ref="A108"/>
    <hyperlink r:id="rId214" ref="B108"/>
    <hyperlink r:id="rId215" ref="A109"/>
    <hyperlink r:id="rId216" ref="B109"/>
    <hyperlink r:id="rId217" ref="A110"/>
    <hyperlink r:id="rId218" ref="B110"/>
    <hyperlink r:id="rId219" ref="A111"/>
    <hyperlink r:id="rId220" ref="B111"/>
    <hyperlink r:id="rId221" ref="A112"/>
    <hyperlink r:id="rId222" ref="B112"/>
    <hyperlink r:id="rId223" ref="A113"/>
    <hyperlink r:id="rId224" ref="B113"/>
    <hyperlink r:id="rId225" ref="A114"/>
    <hyperlink r:id="rId226" ref="B114"/>
    <hyperlink r:id="rId227" ref="A115"/>
    <hyperlink r:id="rId228" ref="B115"/>
    <hyperlink r:id="rId229" ref="A116"/>
    <hyperlink r:id="rId230" ref="B116"/>
    <hyperlink r:id="rId231" ref="A117"/>
    <hyperlink r:id="rId232" ref="B117"/>
    <hyperlink r:id="rId233" ref="A118"/>
    <hyperlink r:id="rId234" ref="B118"/>
    <hyperlink r:id="rId235" ref="A119"/>
    <hyperlink r:id="rId236" ref="B119"/>
    <hyperlink r:id="rId237" ref="A120"/>
    <hyperlink r:id="rId238" ref="B120"/>
    <hyperlink r:id="rId239" ref="A121"/>
    <hyperlink r:id="rId240" ref="B121"/>
    <hyperlink r:id="rId241" ref="A122"/>
    <hyperlink r:id="rId242" ref="B122"/>
    <hyperlink r:id="rId243" ref="A123"/>
    <hyperlink r:id="rId244" ref="B123"/>
    <hyperlink r:id="rId245" ref="A124"/>
    <hyperlink r:id="rId246" ref="B124"/>
    <hyperlink r:id="rId247" ref="A125"/>
    <hyperlink r:id="rId248" ref="B125"/>
    <hyperlink r:id="rId249" ref="A126"/>
    <hyperlink r:id="rId250" ref="B126"/>
    <hyperlink r:id="rId251" ref="A127"/>
    <hyperlink r:id="rId252" ref="B127"/>
    <hyperlink r:id="rId253" ref="A128"/>
    <hyperlink r:id="rId254" ref="B128"/>
    <hyperlink r:id="rId255" ref="A129"/>
    <hyperlink r:id="rId256" ref="B129"/>
    <hyperlink r:id="rId257" ref="A130"/>
    <hyperlink r:id="rId258" ref="B130"/>
    <hyperlink r:id="rId259" ref="A131"/>
    <hyperlink r:id="rId260" ref="B131"/>
    <hyperlink r:id="rId261" ref="A132"/>
    <hyperlink r:id="rId262" ref="B132"/>
    <hyperlink r:id="rId263" ref="A133"/>
    <hyperlink r:id="rId264" ref="B133"/>
    <hyperlink r:id="rId265" ref="A134"/>
    <hyperlink r:id="rId266" ref="B134"/>
    <hyperlink r:id="rId267" ref="A135"/>
    <hyperlink r:id="rId268" ref="B135"/>
    <hyperlink r:id="rId269" ref="A136"/>
    <hyperlink r:id="rId270" ref="B136"/>
    <hyperlink r:id="rId271" ref="A137"/>
    <hyperlink r:id="rId272" ref="B137"/>
    <hyperlink r:id="rId273" ref="A138"/>
    <hyperlink r:id="rId274" ref="B138"/>
    <hyperlink r:id="rId275" ref="A139"/>
    <hyperlink r:id="rId276" ref="B139"/>
    <hyperlink r:id="rId277" ref="A140"/>
    <hyperlink r:id="rId278" ref="B140"/>
    <hyperlink r:id="rId279" ref="A141"/>
    <hyperlink r:id="rId280" ref="B141"/>
    <hyperlink r:id="rId281" ref="A142"/>
    <hyperlink r:id="rId282" ref="B142"/>
    <hyperlink r:id="rId283" ref="A143"/>
    <hyperlink r:id="rId284" ref="B143"/>
    <hyperlink r:id="rId285" ref="A144"/>
    <hyperlink r:id="rId286" ref="B144"/>
    <hyperlink r:id="rId287" ref="A145"/>
    <hyperlink r:id="rId288" ref="B145"/>
    <hyperlink r:id="rId289" ref="A146"/>
    <hyperlink r:id="rId290" ref="B146"/>
    <hyperlink r:id="rId291" ref="A147"/>
    <hyperlink r:id="rId292" ref="B147"/>
    <hyperlink r:id="rId293" ref="A148"/>
    <hyperlink r:id="rId294" ref="B148"/>
    <hyperlink r:id="rId295" ref="A149"/>
    <hyperlink r:id="rId296" ref="B149"/>
    <hyperlink r:id="rId297" ref="A150"/>
    <hyperlink r:id="rId298" ref="B150"/>
    <hyperlink r:id="rId299" ref="A151"/>
    <hyperlink r:id="rId300" ref="B151"/>
    <hyperlink r:id="rId301" ref="A152"/>
    <hyperlink r:id="rId302" ref="B152"/>
    <hyperlink r:id="rId303" ref="A153"/>
    <hyperlink r:id="rId304" ref="B153"/>
    <hyperlink r:id="rId305" ref="A154"/>
    <hyperlink r:id="rId306" ref="B154"/>
    <hyperlink r:id="rId307" ref="A155"/>
    <hyperlink r:id="rId308" ref="B155"/>
    <hyperlink r:id="rId309" ref="A156"/>
    <hyperlink r:id="rId310" ref="B156"/>
    <hyperlink r:id="rId311" ref="A157"/>
    <hyperlink r:id="rId312" ref="B157"/>
    <hyperlink r:id="rId313" ref="A158"/>
    <hyperlink r:id="rId314" ref="B158"/>
    <hyperlink r:id="rId315" ref="A159"/>
    <hyperlink r:id="rId316" ref="B159"/>
    <hyperlink r:id="rId317" ref="A160"/>
    <hyperlink r:id="rId318" ref="B160"/>
    <hyperlink r:id="rId319" ref="A161"/>
    <hyperlink r:id="rId320" ref="B161"/>
    <hyperlink r:id="rId321" ref="A162"/>
    <hyperlink r:id="rId322" ref="B162"/>
    <hyperlink r:id="rId323" ref="A163"/>
    <hyperlink r:id="rId324" ref="B163"/>
    <hyperlink r:id="rId325" ref="A164"/>
    <hyperlink r:id="rId326" ref="B164"/>
    <hyperlink r:id="rId327" ref="A165"/>
    <hyperlink r:id="rId328" ref="B165"/>
    <hyperlink r:id="rId329" ref="A166"/>
    <hyperlink r:id="rId330" ref="B166"/>
    <hyperlink r:id="rId331" ref="A167"/>
    <hyperlink r:id="rId332" ref="B167"/>
    <hyperlink r:id="rId333" ref="A168"/>
    <hyperlink r:id="rId334" ref="B168"/>
    <hyperlink r:id="rId335" ref="A169"/>
    <hyperlink r:id="rId336" ref="B169"/>
    <hyperlink r:id="rId337" ref="A170"/>
    <hyperlink r:id="rId338" ref="B170"/>
    <hyperlink r:id="rId339" ref="A171"/>
    <hyperlink r:id="rId340" ref="B171"/>
    <hyperlink r:id="rId341" ref="A172"/>
    <hyperlink r:id="rId342" ref="B172"/>
    <hyperlink r:id="rId343" ref="A173"/>
    <hyperlink r:id="rId344" ref="B173"/>
    <hyperlink r:id="rId345" ref="A174"/>
    <hyperlink r:id="rId346" ref="B174"/>
    <hyperlink r:id="rId347" ref="A175"/>
    <hyperlink r:id="rId348" ref="B175"/>
    <hyperlink r:id="rId349" ref="A176"/>
    <hyperlink r:id="rId350" ref="B176"/>
    <hyperlink r:id="rId351" ref="A177"/>
    <hyperlink r:id="rId352" ref="B177"/>
    <hyperlink r:id="rId353" ref="A178"/>
    <hyperlink r:id="rId354" ref="B178"/>
    <hyperlink r:id="rId355" ref="A179"/>
    <hyperlink r:id="rId356" ref="B179"/>
    <hyperlink r:id="rId357" ref="A180"/>
    <hyperlink r:id="rId358" ref="B180"/>
    <hyperlink r:id="rId359" ref="A181"/>
    <hyperlink r:id="rId360" ref="B181"/>
    <hyperlink r:id="rId361" ref="A182"/>
    <hyperlink r:id="rId362" ref="B182"/>
    <hyperlink r:id="rId363" ref="A183"/>
    <hyperlink r:id="rId364" ref="B183"/>
    <hyperlink r:id="rId365" ref="A184"/>
    <hyperlink r:id="rId366" ref="B184"/>
    <hyperlink r:id="rId367" ref="A185"/>
    <hyperlink r:id="rId368" ref="B185"/>
    <hyperlink r:id="rId369" ref="A186"/>
    <hyperlink r:id="rId370" ref="B186"/>
    <hyperlink r:id="rId371" ref="A187"/>
    <hyperlink r:id="rId372" ref="B187"/>
    <hyperlink r:id="rId373" ref="A188"/>
    <hyperlink r:id="rId374" ref="B188"/>
    <hyperlink r:id="rId375" ref="A189"/>
    <hyperlink r:id="rId376" ref="B189"/>
    <hyperlink r:id="rId377" ref="A190"/>
    <hyperlink r:id="rId378" ref="B190"/>
    <hyperlink r:id="rId379" ref="A191"/>
    <hyperlink r:id="rId380" ref="B191"/>
    <hyperlink r:id="rId381" ref="A192"/>
    <hyperlink r:id="rId382" ref="B192"/>
    <hyperlink r:id="rId383" ref="A193"/>
    <hyperlink r:id="rId384" ref="B193"/>
    <hyperlink r:id="rId385" ref="A194"/>
    <hyperlink r:id="rId386" ref="B194"/>
    <hyperlink r:id="rId387" ref="A195"/>
    <hyperlink r:id="rId388" ref="B195"/>
    <hyperlink r:id="rId389" ref="A196"/>
    <hyperlink r:id="rId390" ref="B196"/>
    <hyperlink r:id="rId391" ref="A197"/>
    <hyperlink r:id="rId392" ref="B197"/>
    <hyperlink r:id="rId393" ref="A198"/>
    <hyperlink r:id="rId394" ref="B198"/>
    <hyperlink r:id="rId395" ref="A199"/>
    <hyperlink r:id="rId396" ref="B199"/>
    <hyperlink r:id="rId397" ref="A200"/>
    <hyperlink r:id="rId398" ref="B200"/>
    <hyperlink r:id="rId399" ref="A201"/>
    <hyperlink r:id="rId400" ref="B201"/>
    <hyperlink r:id="rId401" ref="A202"/>
    <hyperlink r:id="rId402" ref="B202"/>
    <hyperlink r:id="rId403" ref="A203"/>
    <hyperlink r:id="rId404" ref="B203"/>
    <hyperlink r:id="rId405" ref="A204"/>
    <hyperlink r:id="rId406" ref="B204"/>
    <hyperlink r:id="rId407" ref="A205"/>
    <hyperlink r:id="rId408" ref="B205"/>
    <hyperlink r:id="rId409" ref="A206"/>
    <hyperlink r:id="rId410" ref="B206"/>
    <hyperlink r:id="rId411" ref="A207"/>
    <hyperlink r:id="rId412" ref="B207"/>
    <hyperlink r:id="rId413" ref="A208"/>
    <hyperlink r:id="rId414" ref="B208"/>
    <hyperlink r:id="rId415" ref="A209"/>
    <hyperlink r:id="rId416" ref="B209"/>
    <hyperlink r:id="rId417" ref="A210"/>
    <hyperlink r:id="rId418" ref="B210"/>
    <hyperlink r:id="rId419" ref="A211"/>
    <hyperlink r:id="rId420" ref="B211"/>
    <hyperlink r:id="rId421" ref="A212"/>
    <hyperlink r:id="rId422" ref="B212"/>
    <hyperlink r:id="rId423" ref="A213"/>
    <hyperlink r:id="rId424" ref="B213"/>
    <hyperlink r:id="rId425" ref="A214"/>
    <hyperlink r:id="rId426" ref="B214"/>
    <hyperlink r:id="rId427" ref="A215"/>
    <hyperlink r:id="rId428" ref="B215"/>
    <hyperlink r:id="rId429" ref="A216"/>
    <hyperlink r:id="rId430" ref="B216"/>
    <hyperlink r:id="rId431" ref="A217"/>
    <hyperlink r:id="rId432" ref="B217"/>
    <hyperlink r:id="rId433" ref="A218"/>
    <hyperlink r:id="rId434" ref="B218"/>
    <hyperlink r:id="rId435" ref="A219"/>
    <hyperlink r:id="rId436" ref="B219"/>
    <hyperlink r:id="rId437" ref="A220"/>
    <hyperlink r:id="rId438" ref="B220"/>
    <hyperlink r:id="rId439" ref="A221"/>
    <hyperlink r:id="rId440" ref="B221"/>
    <hyperlink r:id="rId441" ref="A222"/>
    <hyperlink r:id="rId442" ref="B222"/>
    <hyperlink r:id="rId443" ref="A223"/>
    <hyperlink r:id="rId444" ref="B223"/>
    <hyperlink r:id="rId445" ref="A224"/>
    <hyperlink r:id="rId446" ref="B224"/>
  </hyperlinks>
  <drawing r:id="rId447"/>
</worksheet>
</file>